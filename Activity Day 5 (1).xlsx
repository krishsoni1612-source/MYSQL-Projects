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SDC44\Downloads\"/>
    </mc:Choice>
  </mc:AlternateContent>
  <xr:revisionPtr revIDLastSave="0" documentId="13_ncr:1_{4BD3CA02-2BC1-4C10-AAE5-DCED469CD332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Sheet1" sheetId="11" r:id="rId1"/>
    <sheet name="sales_2025" sheetId="3" r:id="rId2"/>
    <sheet name="Group 1 (Sales)" sheetId="7" r:id="rId3"/>
    <sheet name="Main Data - Employees" sheetId="4" r:id="rId4"/>
    <sheet name="Group 2 (Employees)" sheetId="8" r:id="rId5"/>
    <sheet name="Employee" sheetId="13" r:id="rId6"/>
    <sheet name="Main Data - Students" sheetId="5" r:id="rId7"/>
    <sheet name="Group 3 (Students)" sheetId="9" r:id="rId8"/>
    <sheet name="Main Data - Products" sheetId="6" r:id="rId9"/>
    <sheet name="Group 4 (Products)" sheetId="10" r:id="rId10"/>
  </sheets>
  <definedNames>
    <definedName name="_xlnm._FilterDatabase" localSheetId="3" hidden="1">'Main Data - Employees'!$A$1:$E$101</definedName>
    <definedName name="_xlnm._FilterDatabase" localSheetId="1" hidden="1">sales_2025!$A$3:$I$103</definedName>
    <definedName name="_xlcn.WorksheetConnection_ActivityDay51.xlsxTable21" hidden="1">Table2</definedName>
  </definedNames>
  <calcPr calcId="191029"/>
  <pivotCaches>
    <pivotCache cacheId="32" r:id="rId11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Activity Day 5 (1)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4" l="1"/>
  <c r="S3" i="4"/>
  <c r="R3" i="4"/>
  <c r="Q3" i="4"/>
  <c r="P3" i="4"/>
  <c r="O3" i="4"/>
  <c r="B2" i="13"/>
  <c r="N2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4" i="3"/>
  <c r="F38" i="3"/>
  <c r="F83" i="3"/>
  <c r="F99" i="3"/>
  <c r="F69" i="3"/>
  <c r="F48" i="3"/>
  <c r="F100" i="3"/>
  <c r="F17" i="3"/>
  <c r="F23" i="3"/>
  <c r="F64" i="3"/>
  <c r="F87" i="3"/>
  <c r="F43" i="3"/>
  <c r="F25" i="3"/>
  <c r="F93" i="3"/>
  <c r="F90" i="3"/>
  <c r="F80" i="3"/>
  <c r="F12" i="3"/>
  <c r="F6" i="3"/>
  <c r="F40" i="3"/>
  <c r="F14" i="3"/>
  <c r="F59" i="3"/>
  <c r="F11" i="3"/>
  <c r="F70" i="3"/>
  <c r="F22" i="3"/>
  <c r="F51" i="3"/>
  <c r="F36" i="3"/>
  <c r="F63" i="3"/>
  <c r="F18" i="3"/>
  <c r="F31" i="3"/>
  <c r="F68" i="3"/>
  <c r="F7" i="3"/>
  <c r="F26" i="3"/>
  <c r="F45" i="3"/>
  <c r="F27" i="3"/>
  <c r="F35" i="3"/>
  <c r="F79" i="3"/>
  <c r="F67" i="3"/>
  <c r="F81" i="3"/>
  <c r="F54" i="3"/>
  <c r="F20" i="3"/>
  <c r="F29" i="3"/>
  <c r="F84" i="3"/>
  <c r="F15" i="3"/>
  <c r="F52" i="3"/>
  <c r="F97" i="3"/>
  <c r="F37" i="3"/>
  <c r="F101" i="3"/>
  <c r="F96" i="3"/>
  <c r="F75" i="3"/>
  <c r="F58" i="3"/>
  <c r="F24" i="3"/>
  <c r="F30" i="3"/>
  <c r="F47" i="3"/>
  <c r="F32" i="3"/>
  <c r="F28" i="3"/>
  <c r="F49" i="3"/>
  <c r="F92" i="3"/>
  <c r="F42" i="3"/>
  <c r="F86" i="3"/>
  <c r="F19" i="3"/>
  <c r="F16" i="3"/>
  <c r="F34" i="3"/>
  <c r="F73" i="3"/>
  <c r="F88" i="3"/>
  <c r="F65" i="3"/>
  <c r="F72" i="3"/>
  <c r="F44" i="3"/>
  <c r="F78" i="3"/>
  <c r="F50" i="3"/>
  <c r="F46" i="3"/>
  <c r="F66" i="3"/>
  <c r="F95" i="3"/>
  <c r="F94" i="3"/>
  <c r="F85" i="3"/>
  <c r="F91" i="3"/>
  <c r="F82" i="3"/>
  <c r="F74" i="3"/>
  <c r="F61" i="3"/>
  <c r="F4" i="3"/>
  <c r="F103" i="3"/>
  <c r="F62" i="3"/>
  <c r="F10" i="3"/>
  <c r="F98" i="3"/>
  <c r="F57" i="3"/>
  <c r="F33" i="3"/>
  <c r="F76" i="3"/>
  <c r="F39" i="3"/>
  <c r="F53" i="3"/>
  <c r="F56" i="3"/>
  <c r="F9" i="3"/>
  <c r="F77" i="3"/>
  <c r="F55" i="3"/>
  <c r="F102" i="3"/>
  <c r="F41" i="3"/>
  <c r="F60" i="3"/>
  <c r="F13" i="3"/>
  <c r="F5" i="3"/>
  <c r="F71" i="3"/>
  <c r="F89" i="3"/>
  <c r="F21" i="3"/>
  <c r="F8" i="3"/>
  <c r="M2" i="3" l="1"/>
  <c r="L2" i="3"/>
  <c r="K2" i="3"/>
  <c r="I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4B59A2-CD13-41AB-AB2E-77C96558A34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3788390-BAAC-4E65-8E32-DA9DF8CD67BF}" name="WorksheetConnection_Activity Day 5 (1)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ActivityDay51.xlsxTable21"/>
        </x15:connection>
      </ext>
    </extLst>
  </connection>
</connections>
</file>

<file path=xl/sharedStrings.xml><?xml version="1.0" encoding="utf-8"?>
<sst xmlns="http://schemas.openxmlformats.org/spreadsheetml/2006/main" count="1461" uniqueCount="489">
  <si>
    <t>Date</t>
  </si>
  <si>
    <t>Region</t>
  </si>
  <si>
    <t>Product</t>
  </si>
  <si>
    <t>Quantity</t>
  </si>
  <si>
    <t>Amount</t>
  </si>
  <si>
    <t>East</t>
  </si>
  <si>
    <t>Laptop</t>
  </si>
  <si>
    <t>North</t>
  </si>
  <si>
    <t>Headphones</t>
  </si>
  <si>
    <t>West</t>
  </si>
  <si>
    <t>Tablet</t>
  </si>
  <si>
    <t>South</t>
  </si>
  <si>
    <t>Mobile</t>
  </si>
  <si>
    <t>Printer</t>
  </si>
  <si>
    <t>EmployeeID</t>
  </si>
  <si>
    <t>Name</t>
  </si>
  <si>
    <t>Dept</t>
  </si>
  <si>
    <t>DOJ</t>
  </si>
  <si>
    <t>Salary</t>
  </si>
  <si>
    <t>EMP1000</t>
  </si>
  <si>
    <t>Meera Gupta</t>
  </si>
  <si>
    <t>Admin</t>
  </si>
  <si>
    <t>EMP1001</t>
  </si>
  <si>
    <t>Amit Mehta</t>
  </si>
  <si>
    <t>Marketing</t>
  </si>
  <si>
    <t>EMP1002</t>
  </si>
  <si>
    <t>Vikas Kapoor</t>
  </si>
  <si>
    <t>Sales</t>
  </si>
  <si>
    <t>EMP1003</t>
  </si>
  <si>
    <t>Simran Gupta</t>
  </si>
  <si>
    <t>EMP1004</t>
  </si>
  <si>
    <t>Roshni Gupta</t>
  </si>
  <si>
    <t>EMP1005</t>
  </si>
  <si>
    <t>Vikas Bose</t>
  </si>
  <si>
    <t>EMP1006</t>
  </si>
  <si>
    <t>Divya Bose</t>
  </si>
  <si>
    <t>HR</t>
  </si>
  <si>
    <t>EMP1007</t>
  </si>
  <si>
    <t>Amit Iyer</t>
  </si>
  <si>
    <t>EMP1008</t>
  </si>
  <si>
    <t>EMP1009</t>
  </si>
  <si>
    <t>Sahil Iyer</t>
  </si>
  <si>
    <t>Finance</t>
  </si>
  <si>
    <t>EMP1010</t>
  </si>
  <si>
    <t>Sahil Patel</t>
  </si>
  <si>
    <t>EMP1011</t>
  </si>
  <si>
    <t>Roshni Sharma</t>
  </si>
  <si>
    <t>EMP1012</t>
  </si>
  <si>
    <t>Manish Iyer</t>
  </si>
  <si>
    <t>EMP1013</t>
  </si>
  <si>
    <t>Ravi Verma</t>
  </si>
  <si>
    <t>EMP1014</t>
  </si>
  <si>
    <t>Neha Sharma</t>
  </si>
  <si>
    <t>EMP1015</t>
  </si>
  <si>
    <t>Amit Singh</t>
  </si>
  <si>
    <t>EMP1016</t>
  </si>
  <si>
    <t>Reema Mehta</t>
  </si>
  <si>
    <t>IT</t>
  </si>
  <si>
    <t>EMP1017</t>
  </si>
  <si>
    <t>Ravi Singh</t>
  </si>
  <si>
    <t>EMP1018</t>
  </si>
  <si>
    <t>Amit Sharma</t>
  </si>
  <si>
    <t>EMP1019</t>
  </si>
  <si>
    <t>Kunal Bose</t>
  </si>
  <si>
    <t>EMP1020</t>
  </si>
  <si>
    <t>Reema Verma</t>
  </si>
  <si>
    <t>EMP1021</t>
  </si>
  <si>
    <t>Divya Verma</t>
  </si>
  <si>
    <t>EMP1022</t>
  </si>
  <si>
    <t>Neha Patel</t>
  </si>
  <si>
    <t>EMP1023</t>
  </si>
  <si>
    <t>Pooja Bose</t>
  </si>
  <si>
    <t>EMP1024</t>
  </si>
  <si>
    <t>EMP1025</t>
  </si>
  <si>
    <t>EMP1026</t>
  </si>
  <si>
    <t>Roshni Singh</t>
  </si>
  <si>
    <t>EMP1027</t>
  </si>
  <si>
    <t>Priya Patel</t>
  </si>
  <si>
    <t>EMP1028</t>
  </si>
  <si>
    <t>Raj Bose</t>
  </si>
  <si>
    <t>EMP1029</t>
  </si>
  <si>
    <t>Tarun Iyer</t>
  </si>
  <si>
    <t>EMP1030</t>
  </si>
  <si>
    <t>Raj Nair</t>
  </si>
  <si>
    <t>EMP1031</t>
  </si>
  <si>
    <t>EMP1032</t>
  </si>
  <si>
    <t>Simran Nair</t>
  </si>
  <si>
    <t>EMP1033</t>
  </si>
  <si>
    <t>EMP1034</t>
  </si>
  <si>
    <t>Neha Gupta</t>
  </si>
  <si>
    <t>EMP1035</t>
  </si>
  <si>
    <t>Tarun Sharma</t>
  </si>
  <si>
    <t>EMP1036</t>
  </si>
  <si>
    <t>Meera Iyer</t>
  </si>
  <si>
    <t>EMP1037</t>
  </si>
  <si>
    <t>Simran Sharma</t>
  </si>
  <si>
    <t>EMP1038</t>
  </si>
  <si>
    <t>Sonia Patel</t>
  </si>
  <si>
    <t>EMP1039</t>
  </si>
  <si>
    <t>Neha Nair</t>
  </si>
  <si>
    <t>EMP1040</t>
  </si>
  <si>
    <t>Pooja Sharma</t>
  </si>
  <si>
    <t>EMP1041</t>
  </si>
  <si>
    <t>Manish Nair</t>
  </si>
  <si>
    <t>EMP1042</t>
  </si>
  <si>
    <t>Sonia Singh</t>
  </si>
  <si>
    <t>EMP1043</t>
  </si>
  <si>
    <t>Pooja Gupta</t>
  </si>
  <si>
    <t>EMP1044</t>
  </si>
  <si>
    <t>Ravi Nair</t>
  </si>
  <si>
    <t>EMP1045</t>
  </si>
  <si>
    <t>Divya Nair</t>
  </si>
  <si>
    <t>EMP1046</t>
  </si>
  <si>
    <t>EMP1047</t>
  </si>
  <si>
    <t>EMP1048</t>
  </si>
  <si>
    <t>Nisha Mehta</t>
  </si>
  <si>
    <t>EMP1049</t>
  </si>
  <si>
    <t>Simran Singh</t>
  </si>
  <si>
    <t>EMP1050</t>
  </si>
  <si>
    <t>EMP1051</t>
  </si>
  <si>
    <t>Manish Mehta</t>
  </si>
  <si>
    <t>EMP1052</t>
  </si>
  <si>
    <t>Raj Mehta</t>
  </si>
  <si>
    <t>EMP1053</t>
  </si>
  <si>
    <t>Sahil Nair</t>
  </si>
  <si>
    <t>EMP1054</t>
  </si>
  <si>
    <t>Meera Mehta</t>
  </si>
  <si>
    <t>EMP1055</t>
  </si>
  <si>
    <t>EMP1056</t>
  </si>
  <si>
    <t>Meera Bose</t>
  </si>
  <si>
    <t>EMP1057</t>
  </si>
  <si>
    <t>EMP1058</t>
  </si>
  <si>
    <t>EMP1059</t>
  </si>
  <si>
    <t>Nisha Nair</t>
  </si>
  <si>
    <t>EMP1060</t>
  </si>
  <si>
    <t>EMP1061</t>
  </si>
  <si>
    <t>Ravi Sharma</t>
  </si>
  <si>
    <t>EMP1062</t>
  </si>
  <si>
    <t>Arjun Patel</t>
  </si>
  <si>
    <t>EMP1063</t>
  </si>
  <si>
    <t>Deepak Iyer</t>
  </si>
  <si>
    <t>EMP1064</t>
  </si>
  <si>
    <t>Vikas Nair</t>
  </si>
  <si>
    <t>EMP1065</t>
  </si>
  <si>
    <t>Tarun Bose</t>
  </si>
  <si>
    <t>EMP1066</t>
  </si>
  <si>
    <t>Roshni Mehta</t>
  </si>
  <si>
    <t>EMP1067</t>
  </si>
  <si>
    <t>Simran Kapoor</t>
  </si>
  <si>
    <t>EMP1068</t>
  </si>
  <si>
    <t>Divya Iyer</t>
  </si>
  <si>
    <t>EMP1069</t>
  </si>
  <si>
    <t>Sahil Sharma</t>
  </si>
  <si>
    <t>EMP1070</t>
  </si>
  <si>
    <t>Manish Sharma</t>
  </si>
  <si>
    <t>EMP1071</t>
  </si>
  <si>
    <t>Meera Nair</t>
  </si>
  <si>
    <t>EMP1072</t>
  </si>
  <si>
    <t>Sonia Gupta</t>
  </si>
  <si>
    <t>EMP1073</t>
  </si>
  <si>
    <t>Raj Kapoor</t>
  </si>
  <si>
    <t>EMP1074</t>
  </si>
  <si>
    <t>Divya Kapoor</t>
  </si>
  <si>
    <t>EMP1075</t>
  </si>
  <si>
    <t>EMP1076</t>
  </si>
  <si>
    <t>Divya Patel</t>
  </si>
  <si>
    <t>EMP1077</t>
  </si>
  <si>
    <t>Neha Verma</t>
  </si>
  <si>
    <t>EMP1078</t>
  </si>
  <si>
    <t>EMP1079</t>
  </si>
  <si>
    <t>EMP1080</t>
  </si>
  <si>
    <t>EMP1081</t>
  </si>
  <si>
    <t>Sonia Nair</t>
  </si>
  <si>
    <t>EMP1082</t>
  </si>
  <si>
    <t>Pooja Nair</t>
  </si>
  <si>
    <t>EMP1083</t>
  </si>
  <si>
    <t>Amit Kapoor</t>
  </si>
  <si>
    <t>EMP1084</t>
  </si>
  <si>
    <t>Arjun Bose</t>
  </si>
  <si>
    <t>EMP1085</t>
  </si>
  <si>
    <t>Ravi Mehta</t>
  </si>
  <si>
    <t>EMP1086</t>
  </si>
  <si>
    <t>Sahil Kapoor</t>
  </si>
  <si>
    <t>EMP1087</t>
  </si>
  <si>
    <t>EMP1088</t>
  </si>
  <si>
    <t>Raj Singh</t>
  </si>
  <si>
    <t>EMP1089</t>
  </si>
  <si>
    <t>Divya Gupta</t>
  </si>
  <si>
    <t>EMP1090</t>
  </si>
  <si>
    <t>Tarun Nair</t>
  </si>
  <si>
    <t>EMP1091</t>
  </si>
  <si>
    <t>EMP1092</t>
  </si>
  <si>
    <t>EMP1093</t>
  </si>
  <si>
    <t>Reema Bose</t>
  </si>
  <si>
    <t>EMP1094</t>
  </si>
  <si>
    <t>EMP1095</t>
  </si>
  <si>
    <t>Arjun Iyer</t>
  </si>
  <si>
    <t>EMP1096</t>
  </si>
  <si>
    <t>EMP1097</t>
  </si>
  <si>
    <t>EMP1098</t>
  </si>
  <si>
    <t>EMP1099</t>
  </si>
  <si>
    <t>Tarun Mehta</t>
  </si>
  <si>
    <t>Subject</t>
  </si>
  <si>
    <t>Marks</t>
  </si>
  <si>
    <t>Student 12</t>
  </si>
  <si>
    <t>Science</t>
  </si>
  <si>
    <t>Student 35</t>
  </si>
  <si>
    <t>Math</t>
  </si>
  <si>
    <t>Student 1</t>
  </si>
  <si>
    <t>History</t>
  </si>
  <si>
    <t>Student 40</t>
  </si>
  <si>
    <t>English</t>
  </si>
  <si>
    <t>Student 22</t>
  </si>
  <si>
    <t>Student 29</t>
  </si>
  <si>
    <t>Student 8</t>
  </si>
  <si>
    <t>Student 11</t>
  </si>
  <si>
    <t>Student 37</t>
  </si>
  <si>
    <t>Computer</t>
  </si>
  <si>
    <t>Student 14</t>
  </si>
  <si>
    <t>Student 30</t>
  </si>
  <si>
    <t>Student 21</t>
  </si>
  <si>
    <t>Student 5</t>
  </si>
  <si>
    <t>Student 19</t>
  </si>
  <si>
    <t>Student 26</t>
  </si>
  <si>
    <t>Student 4</t>
  </si>
  <si>
    <t>Student 25</t>
  </si>
  <si>
    <t>Student 18</t>
  </si>
  <si>
    <t>Student 39</t>
  </si>
  <si>
    <t>Student 32</t>
  </si>
  <si>
    <t>Student 38</t>
  </si>
  <si>
    <t>Student 33</t>
  </si>
  <si>
    <t>Student 23</t>
  </si>
  <si>
    <t>Student 15</t>
  </si>
  <si>
    <t>Student 17</t>
  </si>
  <si>
    <t>Student 2</t>
  </si>
  <si>
    <t>Student 6</t>
  </si>
  <si>
    <t>Student 3</t>
  </si>
  <si>
    <t>Student 7</t>
  </si>
  <si>
    <t>Student 27</t>
  </si>
  <si>
    <t>Student 36</t>
  </si>
  <si>
    <t>Student 10</t>
  </si>
  <si>
    <t>Student 13</t>
  </si>
  <si>
    <t>Student 31</t>
  </si>
  <si>
    <t>Student 24</t>
  </si>
  <si>
    <t>Student 20</t>
  </si>
  <si>
    <t>ProductCode</t>
  </si>
  <si>
    <t>Category</t>
  </si>
  <si>
    <t>P10000</t>
  </si>
  <si>
    <t>Jeans</t>
  </si>
  <si>
    <t>Shoes</t>
  </si>
  <si>
    <t>P10001</t>
  </si>
  <si>
    <t>Toaster</t>
  </si>
  <si>
    <t>Clothing</t>
  </si>
  <si>
    <t>P10002</t>
  </si>
  <si>
    <t>P10003</t>
  </si>
  <si>
    <t>Smartwatch</t>
  </si>
  <si>
    <t>P10004</t>
  </si>
  <si>
    <t>Shirt</t>
  </si>
  <si>
    <t>Grocery</t>
  </si>
  <si>
    <t>P10005</t>
  </si>
  <si>
    <t>P10006</t>
  </si>
  <si>
    <t>Mixer</t>
  </si>
  <si>
    <t>P10007</t>
  </si>
  <si>
    <t>P10008</t>
  </si>
  <si>
    <t>P10009</t>
  </si>
  <si>
    <t>Home</t>
  </si>
  <si>
    <t>P10010</t>
  </si>
  <si>
    <t>P10011</t>
  </si>
  <si>
    <t>Electronics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</si>
  <si>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</si>
  <si>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</si>
  <si>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</si>
  <si>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</si>
  <si>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</si>
  <si>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</si>
  <si>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</si>
  <si>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</si>
  <si>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</si>
  <si>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</si>
  <si>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</si>
  <si>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</si>
  <si>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</si>
  <si>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TV</t>
  </si>
  <si>
    <t>P10025</t>
  </si>
  <si>
    <t>P10026</t>
  </si>
  <si>
    <t>P10027</t>
  </si>
  <si>
    <t>P10028</t>
  </si>
  <si>
    <t>P10029</t>
  </si>
  <si>
    <t>P10030</t>
  </si>
  <si>
    <t>Sneakers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</si>
  <si>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</si>
  <si>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</si>
  <si>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</si>
  <si>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</si>
  <si>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</si>
  <si>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</si>
  <si>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</si>
  <si>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</si>
  <si>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</si>
  <si>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</si>
  <si>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</si>
  <si>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</si>
  <si>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</si>
  <si>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</si>
  <si>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</si>
  <si>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</si>
  <si>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</si>
  <si>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</si>
  <si>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</si>
  <si>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</si>
  <si>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</si>
  <si>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</si>
  <si>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</si>
  <si>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</si>
  <si>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</si>
  <si>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</si>
  <si>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</si>
  <si>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</si>
  <si>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</si>
  <si>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</si>
  <si>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</si>
  <si>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</si>
  <si>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</si>
  <si>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</si>
  <si>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</si>
  <si>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</si>
  <si>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</si>
  <si>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</si>
  <si>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</si>
  <si>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</si>
  <si>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</si>
  <si>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</si>
  <si>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</si>
  <si>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</si>
  <si>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</si>
  <si>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</si>
  <si>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</si>
  <si>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</si>
  <si>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</si>
  <si>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</si>
  <si>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</si>
  <si>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</si>
  <si>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</si>
  <si>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</si>
  <si>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</si>
  <si>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</si>
  <si>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</si>
  <si>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</si>
  <si>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</si>
  <si>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</si>
  <si>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</si>
  <si>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</si>
  <si>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</si>
  <si>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</si>
  <si>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</si>
  <si>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</si>
  <si>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</si>
  <si>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</si>
  <si>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</si>
  <si>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Q#</t>
  </si>
  <si>
    <t>Task</t>
  </si>
  <si>
    <t>Insert 2 rows at the top of dataset.</t>
  </si>
  <si>
    <t>Rename sheet as 'Sales_2025'.</t>
  </si>
  <si>
    <t>Apply Bold &amp; Center alignment to headers.</t>
  </si>
  <si>
    <t>Format Amount column as Currency (₹).</t>
  </si>
  <si>
    <t>Apply Conditional Formatting to highlight Amount &gt; 50,000.</t>
  </si>
  <si>
    <t>Insert a new column 'Discount' after Amount.</t>
  </si>
  <si>
    <t>Use Formula → Discount = Amount * 0.10.</t>
  </si>
  <si>
    <t>Find Total Sales using SUM.</t>
  </si>
  <si>
    <t>Find Average Sales per Region (example for East).</t>
  </si>
  <si>
    <t>Find Max and Min Sale.</t>
  </si>
  <si>
    <t>Count how many sales are above 30,000.</t>
  </si>
  <si>
    <t>Sort data by Product A–Z.</t>
  </si>
  <si>
    <t>Filter to show only Region = East.</t>
  </si>
  <si>
    <t>Find &amp; Replace 'Laptop' → 'Notebook'.</t>
  </si>
  <si>
    <t>Use Text to Columns → Split Date into Day, Month, Year.</t>
  </si>
  <si>
    <t>Remove duplicate rows.</t>
  </si>
  <si>
    <t>Data Validation → Quantity must be between 1 and 100.</t>
  </si>
  <si>
    <t>IF → If Amount &gt; 40,000 show 'High' else 'Low'.</t>
  </si>
  <si>
    <t>AND → If Region = 'North' AND Amount &gt; 50,000 show 'Target Achieved'.</t>
  </si>
  <si>
    <t>Pivot Table → Show Sum of Amount by Region.</t>
  </si>
  <si>
    <t>Insert a new sheet and name it 'Employees'.</t>
  </si>
  <si>
    <t>Enter today’s date using shortcut.</t>
  </si>
  <si>
    <t>Copy &amp; paste Dept column into a new sheet.</t>
  </si>
  <si>
    <t>Apply cell style → Good to Salary column.</t>
  </si>
  <si>
    <t>Format Salary as Accounting (₹).</t>
  </si>
  <si>
    <t>Apply Conditional Formatting → Highlight Salary &lt; 30,000.</t>
  </si>
  <si>
    <t>Calculate Total Salary.</t>
  </si>
  <si>
    <t>Calculate Average Salary per Dept (example HR).</t>
  </si>
  <si>
    <t>Find Maximum Salary in HR dept.</t>
  </si>
  <si>
    <t>Count employees who joined after 01-01-2023.</t>
  </si>
  <si>
    <t>Sort employees by DOJ (Newest first).</t>
  </si>
  <si>
    <t>Apply Filter → Show only Dept = IT.</t>
  </si>
  <si>
    <t>Find &amp; Replace 'HR' → 'Human Resource'.</t>
  </si>
  <si>
    <t>Use Text to Columns → Split Employee Name into First, Last Name.</t>
  </si>
  <si>
    <t>Remove duplicate Employee IDs.</t>
  </si>
  <si>
    <t>Data Validation → DOJ must be a date only.</t>
  </si>
  <si>
    <t>IF → If Salary &gt;= 50,000 → 'Bonus Eligible'.</t>
  </si>
  <si>
    <t>OR → If Dept = Sales OR IT → 'Trainer Eligible'.</t>
  </si>
  <si>
    <t>Pivot Table → Show Average Salary per Dept.</t>
  </si>
  <si>
    <t>Group DOJ column into Year-wise in Pivot Table.</t>
  </si>
  <si>
    <t>Insert a column for 'Grade'.</t>
  </si>
  <si>
    <t>Rename sheet as 'Students_Grades'.</t>
  </si>
  <si>
    <t>Apply bold + center to all headers.</t>
  </si>
  <si>
    <t>Format Marks column as Number with 1 decimal.</t>
  </si>
  <si>
    <t>Apply Conditional Formatting → Marks &lt; 35 red fill.</t>
  </si>
  <si>
    <t>Use SUM to calculate total marks.</t>
  </si>
  <si>
    <t>Use AVERAGE to find avg marks per student (example for Student 1).</t>
  </si>
  <si>
    <t>Find Max and Min Marks.</t>
  </si>
  <si>
    <t>Count how many scored more than 70.</t>
  </si>
  <si>
    <t>Sort Students by Name A–Z.</t>
  </si>
  <si>
    <t>Filter → Show only Subject = 'Math'.</t>
  </si>
  <si>
    <t>Find &amp; Replace 'Math' → 'Mathematics'.</t>
  </si>
  <si>
    <t>Use Text to Columns → Split Full Name into First, Last (if applicable).</t>
  </si>
  <si>
    <t>Remove duplicate student names.</t>
  </si>
  <si>
    <t>Data Validation → Marks should be between 0–100 only.</t>
  </si>
  <si>
    <t>IF → Marks &gt;= 35 → 'Pass' else 'Fail'.</t>
  </si>
  <si>
    <t>Nested IF → Marks &gt;= 75 'Distinction', &gt;= 60 'First', &gt;= 35 'Pass', else 'Fail'.</t>
  </si>
  <si>
    <t>Pivot Table → Show Avg Marks per Subject.</t>
  </si>
  <si>
    <t>Pivot Table → Count Students per Grade.</t>
  </si>
  <si>
    <t>Group Subjects alphabetically and Ungroup.</t>
  </si>
  <si>
    <t>Create a new worksheet 'Products'.</t>
  </si>
  <si>
    <t>Insert a column 'Category' after Product (if missing).</t>
  </si>
  <si>
    <t>Format Quantity as Number (0 decimals).</t>
  </si>
  <si>
    <t>Apply Conditional Formatting → Quantity &lt; 50 (highlight).</t>
  </si>
  <si>
    <t>Use SUM → Total Quantity sold.</t>
  </si>
  <si>
    <t>Use AVERAGE → Average Quantity per product (example 'Mobile').</t>
  </si>
  <si>
    <t>Find Max &amp; Min Quantity.</t>
  </si>
  <si>
    <t>Count how many product rows have Quantity &gt; 100.</t>
  </si>
  <si>
    <t>Sort data by Amount (Largest to Smallest).</t>
  </si>
  <si>
    <t>Apply Filter → Show only Category = 'Electronics'.</t>
  </si>
  <si>
    <t>Find &amp; Replace 'Mobile' → 'Smartphone'.</t>
  </si>
  <si>
    <t>Use Text to Columns → Split Product Code into Prefix &amp; ID.</t>
  </si>
  <si>
    <t>Remove duplicate Product Codes.</t>
  </si>
  <si>
    <t>Data Validation → Quantity only between 10–500.</t>
  </si>
  <si>
    <t>IF → If Amount &gt;= 20,000 → 'High Sale' else 'Low Sale'.</t>
  </si>
  <si>
    <t>AND → If Category = 'Electronics' AND Quantity &gt; 100 → 'Best Seller'.</t>
  </si>
  <si>
    <t>OR → If Category = 'Clothing' OR 'Shoes' → 'Fashion'.</t>
  </si>
  <si>
    <t>Pivot Table → Show Sum of Amount by Category.</t>
  </si>
  <si>
    <t>Pivot Table → Show Count of Products by Category.</t>
  </si>
  <si>
    <t>a</t>
  </si>
  <si>
    <t>Discount</t>
  </si>
  <si>
    <t>total sum</t>
  </si>
  <si>
    <t>max</t>
  </si>
  <si>
    <t>min</t>
  </si>
  <si>
    <t>count</t>
  </si>
  <si>
    <t>Notebook</t>
  </si>
  <si>
    <t>month</t>
  </si>
  <si>
    <t>year</t>
  </si>
  <si>
    <t>Row Labels</t>
  </si>
  <si>
    <t>Grand Total</t>
  </si>
  <si>
    <t>Sum of Amount</t>
  </si>
  <si>
    <t>total</t>
  </si>
  <si>
    <t>admin</t>
  </si>
  <si>
    <t>finance</t>
  </si>
  <si>
    <t>hr</t>
  </si>
  <si>
    <t>max(hr)</t>
  </si>
  <si>
    <t>after 2022</t>
  </si>
  <si>
    <t>Human Resource</t>
  </si>
  <si>
    <t>Neha</t>
  </si>
  <si>
    <t>Sharma</t>
  </si>
  <si>
    <t>Meera</t>
  </si>
  <si>
    <t>Gupta</t>
  </si>
  <si>
    <t>Divya</t>
  </si>
  <si>
    <t>Bose</t>
  </si>
  <si>
    <t>Priya</t>
  </si>
  <si>
    <t>Patel</t>
  </si>
  <si>
    <t>Raj</t>
  </si>
  <si>
    <t>Pooja</t>
  </si>
  <si>
    <t>Reema</t>
  </si>
  <si>
    <t>Ravi</t>
  </si>
  <si>
    <t>Mehta</t>
  </si>
  <si>
    <t>Simran</t>
  </si>
  <si>
    <t>Kapoor</t>
  </si>
  <si>
    <t>Arjun</t>
  </si>
  <si>
    <t>Nisha</t>
  </si>
  <si>
    <t>Nair</t>
  </si>
  <si>
    <t>Sahil</t>
  </si>
  <si>
    <t>Vikas</t>
  </si>
  <si>
    <t>Verma</t>
  </si>
  <si>
    <t>Iyer</t>
  </si>
  <si>
    <t>Tarun</t>
  </si>
  <si>
    <t>Sonia</t>
  </si>
  <si>
    <t>Manish</t>
  </si>
  <si>
    <t>Singh</t>
  </si>
  <si>
    <t>Roshni</t>
  </si>
  <si>
    <t>Amit</t>
  </si>
  <si>
    <t>Deepak</t>
  </si>
  <si>
    <t>Kunal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</si>
</sst>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yyyy\-mm\-dd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2" borderId="1" xfId="0" applyFont="1" applyFill="1" applyBorder="1"/>
    <xf numFmtId="164" fontId="3" fillId="0" borderId="1" xfId="0" applyNumberFormat="1" applyFont="1" applyBorder="1"/>
    <xf numFmtId="0" fontId="4" fillId="2" borderId="1" xfId="0" applyFont="1" applyFill="1" applyBorder="1" applyAlignment="1">
      <alignment horizontal="center" vertical="center"/>
    </xf>
    <xf numFmtId="44" fontId="0" fillId="0" borderId="0" xfId="2" applyFont="1"/>
    <xf numFmtId="44" fontId="4" fillId="2" borderId="1" xfId="2" applyFont="1" applyFill="1" applyBorder="1" applyAlignment="1">
      <alignment horizontal="center" vertical="center"/>
    </xf>
    <xf numFmtId="44" fontId="3" fillId="0" borderId="1" xfId="2" applyFont="1" applyBorder="1"/>
    <xf numFmtId="0" fontId="4" fillId="2" borderId="2" xfId="0" applyFont="1" applyFill="1" applyBorder="1" applyAlignment="1">
      <alignment horizontal="center" vertical="center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44" fontId="4" fillId="2" borderId="1" xfId="2" applyFont="1" applyFill="1" applyBorder="1"/>
    <xf numFmtId="43" fontId="0" fillId="0" borderId="0" xfId="1" applyFont="1"/>
    <xf numFmtId="14" fontId="4" fillId="2" borderId="1" xfId="0" applyNumberFormat="1" applyFont="1" applyFill="1" applyBorder="1"/>
    <xf numFmtId="14" fontId="3" fillId="0" borderId="1" xfId="0" applyNumberFormat="1" applyFont="1" applyBorder="1"/>
    <xf numFmtId="0" fontId="1" fillId="0" borderId="0" xfId="0" applyFont="1"/>
  </cellXfs>
  <cellStyles count="3">
    <cellStyle name="Comma" xfId="1" builtinId="3"/>
    <cellStyle name="Currency" xfId="2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44" refreshedDate="46146.433468287039" createdVersion="8" refreshedVersion="8" minRefreshableVersion="3" recordCount="100" xr:uid="{8DABE469-505A-42A2-82A9-5F8FEC94FB7C}">
  <cacheSource type="worksheet">
    <worksheetSource ref="A3:I103" sheet="sales_2025"/>
  </cacheSource>
  <cacheFields count="9">
    <cacheField name="Date" numFmtId="164">
      <sharedItems containsSemiMixedTypes="0" containsNonDate="0" containsDate="1" containsString="0" minDate="2023-01-02T00:00:00" maxDate="2024-08-16T00:00:00"/>
    </cacheField>
    <cacheField name="Region" numFmtId="0">
      <sharedItems count="4">
        <s v="East"/>
        <s v="North"/>
        <s v="South"/>
        <s v="West"/>
      </sharedItems>
    </cacheField>
    <cacheField name="Product" numFmtId="0">
      <sharedItems count="5">
        <s v="Headphones"/>
        <s v="Notebook"/>
        <s v="Mobile"/>
        <s v="Printer"/>
        <s v="Tablet"/>
      </sharedItems>
    </cacheField>
    <cacheField name="Quantity" numFmtId="0">
      <sharedItems containsSemiMixedTypes="0" containsString="0" containsNumber="1" containsInteger="1" minValue="4" maxValue="197"/>
    </cacheField>
    <cacheField name="Amount" numFmtId="44">
      <sharedItems containsSemiMixedTypes="0" containsString="0" containsNumber="1" containsInteger="1" minValue="2150" maxValue="97825" count="100">
        <n v="60638"/>
        <n v="30124"/>
        <n v="51300"/>
        <n v="20508"/>
        <n v="90912"/>
        <n v="55340"/>
        <n v="68215"/>
        <n v="57661"/>
        <n v="50726"/>
        <n v="61403"/>
        <n v="56609"/>
        <n v="40734"/>
        <n v="2150"/>
        <n v="92083"/>
        <n v="69027"/>
        <n v="52990"/>
        <n v="33093"/>
        <n v="36247"/>
        <n v="71313"/>
        <n v="88922"/>
        <n v="74847"/>
        <n v="79657"/>
        <n v="4051"/>
        <n v="88142"/>
        <n v="26945"/>
        <n v="70678"/>
        <n v="83750"/>
        <n v="93772"/>
        <n v="29251"/>
        <n v="73789"/>
        <n v="90480"/>
        <n v="88235"/>
        <n v="96285"/>
        <n v="95476"/>
        <n v="71316"/>
        <n v="94468"/>
        <n v="23677"/>
        <n v="96981"/>
        <n v="9308"/>
        <n v="33097"/>
        <n v="47175"/>
        <n v="49747"/>
        <n v="21056"/>
        <n v="80634"/>
        <n v="71031"/>
        <n v="91852"/>
        <n v="6237"/>
        <n v="54006"/>
        <n v="73615"/>
        <n v="62389"/>
        <n v="57179"/>
        <n v="79832"/>
        <n v="10435"/>
        <n v="14284"/>
        <n v="87672"/>
        <n v="97825"/>
        <n v="79781"/>
        <n v="17964"/>
        <n v="86067"/>
        <n v="16338"/>
        <n v="56766"/>
        <n v="95841"/>
        <n v="46543"/>
        <n v="67412"/>
        <n v="81135"/>
        <n v="7655"/>
        <n v="32024"/>
        <n v="96435"/>
        <n v="17896"/>
        <n v="75740"/>
        <n v="10662"/>
        <n v="92794"/>
        <n v="85664"/>
        <n v="45078"/>
        <n v="8805"/>
        <n v="55021"/>
        <n v="53921"/>
        <n v="59335"/>
        <n v="30375"/>
        <n v="3368"/>
        <n v="81738"/>
        <n v="14500"/>
        <n v="6949"/>
        <n v="14403"/>
        <n v="67617"/>
        <n v="44919"/>
        <n v="94848"/>
        <n v="54222"/>
        <n v="33217"/>
        <n v="11966"/>
        <n v="4343"/>
        <n v="57556"/>
        <n v="84613"/>
        <n v="74523"/>
        <n v="70042"/>
        <n v="78575"/>
        <n v="77429"/>
        <n v="18019"/>
        <n v="52293"/>
        <n v="74666"/>
      </sharedItems>
    </cacheField>
    <cacheField name="Discount" numFmtId="44">
      <sharedItems containsSemiMixedTypes="0" containsString="0" containsNumber="1" minValue="215" maxValue="9782.5"/>
    </cacheField>
    <cacheField name="Date2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 count="12">
        <n v="1"/>
        <n v="5"/>
        <n v="8"/>
        <n v="3"/>
        <n v="7"/>
        <n v="4"/>
        <n v="6"/>
        <n v="10"/>
        <n v="12"/>
        <n v="2"/>
        <n v="9"/>
        <n v="11"/>
      </sharedItems>
    </cacheField>
    <cacheField name="year" numFmtId="0">
      <sharedItems containsSemiMixedTypes="0" containsString="0" containsNumber="1" containsInteger="1" minValue="2023" maxValue="2024" count="2">
        <n v="2024"/>
        <n v="20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d v="2024-01-15T00:00:00"/>
    <x v="0"/>
    <x v="0"/>
    <n v="86"/>
    <x v="0"/>
    <n v="6063.8"/>
    <n v="15"/>
    <x v="0"/>
    <x v="0"/>
  </r>
  <r>
    <d v="2024-05-04T00:00:00"/>
    <x v="0"/>
    <x v="0"/>
    <n v="152"/>
    <x v="1"/>
    <n v="3012.4"/>
    <n v="4"/>
    <x v="1"/>
    <x v="0"/>
  </r>
  <r>
    <d v="2024-05-06T00:00:00"/>
    <x v="0"/>
    <x v="0"/>
    <n v="33"/>
    <x v="2"/>
    <n v="5130"/>
    <n v="6"/>
    <x v="1"/>
    <x v="0"/>
  </r>
  <r>
    <d v="2024-05-25T00:00:00"/>
    <x v="0"/>
    <x v="0"/>
    <n v="27"/>
    <x v="3"/>
    <n v="2050.8000000000002"/>
    <n v="25"/>
    <x v="1"/>
    <x v="0"/>
  </r>
  <r>
    <d v="2023-04-13T00:00:00"/>
    <x v="0"/>
    <x v="1"/>
    <n v="54"/>
    <x v="4"/>
    <n v="9091.2000000000007"/>
    <n v="22"/>
    <x v="0"/>
    <x v="1"/>
  </r>
  <r>
    <d v="2023-05-19T00:00:00"/>
    <x v="0"/>
    <x v="1"/>
    <n v="176"/>
    <x v="5"/>
    <n v="5534"/>
    <n v="30"/>
    <x v="2"/>
    <x v="1"/>
  </r>
  <r>
    <d v="2023-06-06T00:00:00"/>
    <x v="0"/>
    <x v="1"/>
    <n v="127"/>
    <x v="6"/>
    <n v="6821.5"/>
    <n v="11"/>
    <x v="3"/>
    <x v="0"/>
  </r>
  <r>
    <d v="2023-10-04T00:00:00"/>
    <x v="0"/>
    <x v="1"/>
    <n v="119"/>
    <x v="7"/>
    <n v="5766.1"/>
    <n v="7"/>
    <x v="4"/>
    <x v="1"/>
  </r>
  <r>
    <d v="2023-12-10T00:00:00"/>
    <x v="0"/>
    <x v="1"/>
    <n v="128"/>
    <x v="8"/>
    <n v="5072.6000000000004"/>
    <n v="11"/>
    <x v="1"/>
    <x v="1"/>
  </r>
  <r>
    <d v="2024-01-14T00:00:00"/>
    <x v="0"/>
    <x v="1"/>
    <n v="153"/>
    <x v="9"/>
    <n v="6140.3"/>
    <n v="13"/>
    <x v="5"/>
    <x v="1"/>
  </r>
  <r>
    <d v="2024-01-21T00:00:00"/>
    <x v="0"/>
    <x v="1"/>
    <n v="187"/>
    <x v="10"/>
    <n v="5660.9000000000005"/>
    <n v="19"/>
    <x v="1"/>
    <x v="1"/>
  </r>
  <r>
    <d v="2024-01-23T00:00:00"/>
    <x v="0"/>
    <x v="1"/>
    <n v="35"/>
    <x v="11"/>
    <n v="4073.4"/>
    <n v="6"/>
    <x v="6"/>
    <x v="1"/>
  </r>
  <r>
    <d v="2024-01-25T00:00:00"/>
    <x v="0"/>
    <x v="1"/>
    <n v="188"/>
    <x v="12"/>
    <n v="215"/>
    <n v="4"/>
    <x v="7"/>
    <x v="1"/>
  </r>
  <r>
    <d v="2024-04-11T00:00:00"/>
    <x v="0"/>
    <x v="1"/>
    <n v="142"/>
    <x v="13"/>
    <n v="9208.3000000000011"/>
    <n v="10"/>
    <x v="8"/>
    <x v="1"/>
  </r>
  <r>
    <d v="2024-07-14T00:00:00"/>
    <x v="0"/>
    <x v="1"/>
    <n v="182"/>
    <x v="14"/>
    <n v="6902.7000000000007"/>
    <n v="14"/>
    <x v="0"/>
    <x v="0"/>
  </r>
  <r>
    <d v="2023-01-02T00:00:00"/>
    <x v="0"/>
    <x v="2"/>
    <n v="99"/>
    <x v="15"/>
    <n v="5299"/>
    <n v="21"/>
    <x v="0"/>
    <x v="0"/>
  </r>
  <r>
    <d v="2023-01-21T00:00:00"/>
    <x v="0"/>
    <x v="2"/>
    <n v="48"/>
    <x v="16"/>
    <n v="3309.3"/>
    <n v="23"/>
    <x v="0"/>
    <x v="0"/>
  </r>
  <r>
    <d v="2023-01-28T00:00:00"/>
    <x v="0"/>
    <x v="2"/>
    <n v="135"/>
    <x v="17"/>
    <n v="3624.7000000000003"/>
    <n v="25"/>
    <x v="0"/>
    <x v="0"/>
  </r>
  <r>
    <d v="2024-04-04T00:00:00"/>
    <x v="0"/>
    <x v="2"/>
    <n v="158"/>
    <x v="18"/>
    <n v="7131.3"/>
    <n v="11"/>
    <x v="5"/>
    <x v="0"/>
  </r>
  <r>
    <d v="2023-08-03T00:00:00"/>
    <x v="0"/>
    <x v="3"/>
    <n v="21"/>
    <x v="19"/>
    <n v="8892.2000000000007"/>
    <n v="14"/>
    <x v="4"/>
    <x v="0"/>
  </r>
  <r>
    <d v="2024-01-02T00:00:00"/>
    <x v="0"/>
    <x v="3"/>
    <n v="6"/>
    <x v="20"/>
    <n v="7484.7000000000007"/>
    <n v="9"/>
    <x v="1"/>
    <x v="1"/>
  </r>
  <r>
    <d v="2024-01-08T00:00:00"/>
    <x v="0"/>
    <x v="3"/>
    <n v="136"/>
    <x v="21"/>
    <n v="7965.7000000000007"/>
    <n v="18"/>
    <x v="9"/>
    <x v="0"/>
  </r>
  <r>
    <d v="2024-04-20T00:00:00"/>
    <x v="0"/>
    <x v="3"/>
    <n v="21"/>
    <x v="22"/>
    <n v="405.1"/>
    <n v="23"/>
    <x v="9"/>
    <x v="0"/>
  </r>
  <r>
    <d v="2024-07-16T00:00:00"/>
    <x v="0"/>
    <x v="3"/>
    <n v="97"/>
    <x v="23"/>
    <n v="8814.2000000000007"/>
    <n v="15"/>
    <x v="4"/>
    <x v="0"/>
  </r>
  <r>
    <d v="2023-02-04T00:00:00"/>
    <x v="0"/>
    <x v="4"/>
    <n v="24"/>
    <x v="24"/>
    <n v="2694.5"/>
    <n v="10"/>
    <x v="9"/>
    <x v="1"/>
  </r>
  <r>
    <d v="2023-06-16T00:00:00"/>
    <x v="0"/>
    <x v="4"/>
    <n v="147"/>
    <x v="25"/>
    <n v="7067.8"/>
    <n v="10"/>
    <x v="10"/>
    <x v="1"/>
  </r>
  <r>
    <d v="2024-03-30T00:00:00"/>
    <x v="0"/>
    <x v="4"/>
    <n v="99"/>
    <x v="26"/>
    <n v="8375"/>
    <n v="27"/>
    <x v="11"/>
    <x v="1"/>
  </r>
  <r>
    <d v="2024-04-19T00:00:00"/>
    <x v="0"/>
    <x v="4"/>
    <n v="8"/>
    <x v="27"/>
    <n v="9377.2000000000007"/>
    <n v="6"/>
    <x v="9"/>
    <x v="0"/>
  </r>
  <r>
    <d v="2024-05-23T00:00:00"/>
    <x v="0"/>
    <x v="4"/>
    <n v="37"/>
    <x v="28"/>
    <n v="2925.1000000000004"/>
    <n v="31"/>
    <x v="3"/>
    <x v="0"/>
  </r>
  <r>
    <d v="2024-06-04T00:00:00"/>
    <x v="0"/>
    <x v="4"/>
    <n v="17"/>
    <x v="29"/>
    <n v="7378.9000000000005"/>
    <n v="19"/>
    <x v="1"/>
    <x v="0"/>
  </r>
  <r>
    <d v="2024-07-19T00:00:00"/>
    <x v="0"/>
    <x v="4"/>
    <n v="116"/>
    <x v="30"/>
    <n v="9048"/>
    <n v="22"/>
    <x v="9"/>
    <x v="1"/>
  </r>
  <r>
    <d v="2024-07-20T00:00:00"/>
    <x v="0"/>
    <x v="4"/>
    <n v="28"/>
    <x v="31"/>
    <n v="8823.5"/>
    <n v="28"/>
    <x v="10"/>
    <x v="1"/>
  </r>
  <r>
    <d v="2023-01-22T00:00:00"/>
    <x v="1"/>
    <x v="0"/>
    <n v="109"/>
    <x v="32"/>
    <n v="9628.5"/>
    <n v="1"/>
    <x v="7"/>
    <x v="1"/>
  </r>
  <r>
    <d v="2023-08-30T00:00:00"/>
    <x v="1"/>
    <x v="0"/>
    <n v="17"/>
    <x v="33"/>
    <n v="9547.6"/>
    <n v="23"/>
    <x v="7"/>
    <x v="1"/>
  </r>
  <r>
    <d v="2024-03-11T00:00:00"/>
    <x v="1"/>
    <x v="0"/>
    <n v="163"/>
    <x v="34"/>
    <n v="7131.6"/>
    <n v="23"/>
    <x v="0"/>
    <x v="0"/>
  </r>
  <r>
    <d v="2023-05-09T00:00:00"/>
    <x v="1"/>
    <x v="1"/>
    <n v="161"/>
    <x v="35"/>
    <n v="9446.8000000000011"/>
    <n v="3"/>
    <x v="5"/>
    <x v="0"/>
  </r>
  <r>
    <d v="2024-02-18T00:00:00"/>
    <x v="1"/>
    <x v="1"/>
    <n v="176"/>
    <x v="36"/>
    <n v="2367.7000000000003"/>
    <n v="21"/>
    <x v="5"/>
    <x v="0"/>
  </r>
  <r>
    <d v="2024-02-23T00:00:00"/>
    <x v="1"/>
    <x v="1"/>
    <n v="99"/>
    <x v="37"/>
    <n v="9698.1"/>
    <n v="2"/>
    <x v="0"/>
    <x v="1"/>
  </r>
  <r>
    <d v="2024-07-15T00:00:00"/>
    <x v="1"/>
    <x v="1"/>
    <n v="181"/>
    <x v="38"/>
    <n v="930.80000000000007"/>
    <n v="21"/>
    <x v="0"/>
    <x v="1"/>
  </r>
  <r>
    <d v="2023-03-29T00:00:00"/>
    <x v="1"/>
    <x v="2"/>
    <n v="128"/>
    <x v="39"/>
    <n v="3309.7000000000003"/>
    <n v="28"/>
    <x v="0"/>
    <x v="1"/>
  </r>
  <r>
    <d v="2023-06-11T00:00:00"/>
    <x v="1"/>
    <x v="2"/>
    <n v="128"/>
    <x v="40"/>
    <n v="4717.5"/>
    <n v="4"/>
    <x v="5"/>
    <x v="0"/>
  </r>
  <r>
    <d v="2023-07-09T00:00:00"/>
    <x v="1"/>
    <x v="2"/>
    <n v="30"/>
    <x v="41"/>
    <n v="4974.7000000000007"/>
    <n v="29"/>
    <x v="3"/>
    <x v="1"/>
  </r>
  <r>
    <d v="2023-09-28T00:00:00"/>
    <x v="1"/>
    <x v="2"/>
    <n v="54"/>
    <x v="42"/>
    <n v="2105.6"/>
    <n v="11"/>
    <x v="6"/>
    <x v="1"/>
  </r>
  <r>
    <d v="2024-03-03T00:00:00"/>
    <x v="1"/>
    <x v="2"/>
    <n v="124"/>
    <x v="43"/>
    <n v="8063.4000000000005"/>
    <n v="9"/>
    <x v="4"/>
    <x v="1"/>
  </r>
  <r>
    <d v="2023-01-21T00:00:00"/>
    <x v="1"/>
    <x v="3"/>
    <n v="68"/>
    <x v="44"/>
    <n v="7103.1"/>
    <n v="28"/>
    <x v="10"/>
    <x v="1"/>
  </r>
  <r>
    <d v="2023-07-25T00:00:00"/>
    <x v="1"/>
    <x v="3"/>
    <n v="93"/>
    <x v="45"/>
    <n v="9185.2000000000007"/>
    <n v="3"/>
    <x v="3"/>
    <x v="0"/>
  </r>
  <r>
    <d v="2023-09-27T00:00:00"/>
    <x v="1"/>
    <x v="3"/>
    <n v="25"/>
    <x v="46"/>
    <n v="623.70000000000005"/>
    <n v="28"/>
    <x v="9"/>
    <x v="1"/>
  </r>
  <r>
    <d v="2023-11-10T00:00:00"/>
    <x v="1"/>
    <x v="3"/>
    <n v="38"/>
    <x v="47"/>
    <n v="5400.6"/>
    <n v="13"/>
    <x v="3"/>
    <x v="1"/>
  </r>
  <r>
    <d v="2023-11-12T00:00:00"/>
    <x v="1"/>
    <x v="3"/>
    <n v="192"/>
    <x v="48"/>
    <n v="7361.5"/>
    <n v="10"/>
    <x v="6"/>
    <x v="1"/>
  </r>
  <r>
    <d v="2024-04-16T00:00:00"/>
    <x v="1"/>
    <x v="3"/>
    <n v="137"/>
    <x v="49"/>
    <n v="6238.9000000000005"/>
    <n v="19"/>
    <x v="2"/>
    <x v="1"/>
  </r>
  <r>
    <d v="2024-04-29T00:00:00"/>
    <x v="1"/>
    <x v="3"/>
    <n v="61"/>
    <x v="50"/>
    <n v="5717.9000000000005"/>
    <n v="9"/>
    <x v="4"/>
    <x v="0"/>
  </r>
  <r>
    <d v="2024-08-15T00:00:00"/>
    <x v="1"/>
    <x v="3"/>
    <n v="170"/>
    <x v="51"/>
    <n v="7983.2000000000007"/>
    <n v="10"/>
    <x v="9"/>
    <x v="1"/>
  </r>
  <r>
    <d v="2023-03-04T00:00:00"/>
    <x v="1"/>
    <x v="4"/>
    <n v="43"/>
    <x v="52"/>
    <n v="1043.5"/>
    <n v="11"/>
    <x v="1"/>
    <x v="1"/>
  </r>
  <r>
    <d v="2023-03-06T00:00:00"/>
    <x v="1"/>
    <x v="4"/>
    <n v="130"/>
    <x v="53"/>
    <n v="1428.4"/>
    <n v="4"/>
    <x v="8"/>
    <x v="1"/>
  </r>
  <r>
    <d v="2023-04-02T00:00:00"/>
    <x v="1"/>
    <x v="4"/>
    <n v="117"/>
    <x v="54"/>
    <n v="8767.2000000000007"/>
    <n v="3"/>
    <x v="2"/>
    <x v="1"/>
  </r>
  <r>
    <d v="2023-07-11T00:00:00"/>
    <x v="1"/>
    <x v="4"/>
    <n v="115"/>
    <x v="55"/>
    <n v="9782.5"/>
    <n v="2"/>
    <x v="0"/>
    <x v="0"/>
  </r>
  <r>
    <d v="2023-10-16T00:00:00"/>
    <x v="1"/>
    <x v="4"/>
    <n v="50"/>
    <x v="56"/>
    <n v="7978.1"/>
    <n v="8"/>
    <x v="0"/>
    <x v="0"/>
  </r>
  <r>
    <d v="2023-07-07T00:00:00"/>
    <x v="2"/>
    <x v="0"/>
    <n v="175"/>
    <x v="57"/>
    <n v="1796.4"/>
    <n v="20"/>
    <x v="5"/>
    <x v="0"/>
  </r>
  <r>
    <d v="2023-02-10T00:00:00"/>
    <x v="2"/>
    <x v="1"/>
    <n v="194"/>
    <x v="58"/>
    <n v="8606.7000000000007"/>
    <n v="16"/>
    <x v="4"/>
    <x v="0"/>
  </r>
  <r>
    <d v="2023-09-10T00:00:00"/>
    <x v="2"/>
    <x v="1"/>
    <n v="51"/>
    <x v="59"/>
    <n v="1633.8000000000002"/>
    <n v="21"/>
    <x v="0"/>
    <x v="1"/>
  </r>
  <r>
    <d v="2023-11-27T00:00:00"/>
    <x v="2"/>
    <x v="1"/>
    <n v="48"/>
    <x v="60"/>
    <n v="5676.6"/>
    <n v="25"/>
    <x v="4"/>
    <x v="1"/>
  </r>
  <r>
    <d v="2024-02-06T00:00:00"/>
    <x v="2"/>
    <x v="1"/>
    <n v="161"/>
    <x v="61"/>
    <n v="9584.1"/>
    <n v="27"/>
    <x v="10"/>
    <x v="1"/>
  </r>
  <r>
    <d v="2024-03-31T00:00:00"/>
    <x v="2"/>
    <x v="1"/>
    <n v="58"/>
    <x v="62"/>
    <n v="4654.3"/>
    <n v="10"/>
    <x v="11"/>
    <x v="1"/>
  </r>
  <r>
    <d v="2024-05-19T00:00:00"/>
    <x v="2"/>
    <x v="1"/>
    <n v="192"/>
    <x v="63"/>
    <n v="6741.2000000000007"/>
    <n v="12"/>
    <x v="11"/>
    <x v="1"/>
  </r>
  <r>
    <d v="2023-02-28T00:00:00"/>
    <x v="2"/>
    <x v="2"/>
    <n v="27"/>
    <x v="64"/>
    <n v="8113.5"/>
    <n v="16"/>
    <x v="5"/>
    <x v="0"/>
  </r>
  <r>
    <d v="2023-03-13T00:00:00"/>
    <x v="2"/>
    <x v="2"/>
    <n v="161"/>
    <x v="65"/>
    <n v="765.5"/>
    <n v="29"/>
    <x v="5"/>
    <x v="0"/>
  </r>
  <r>
    <d v="2023-06-10T00:00:00"/>
    <x v="2"/>
    <x v="2"/>
    <n v="22"/>
    <x v="66"/>
    <n v="3202.4"/>
    <n v="15"/>
    <x v="2"/>
    <x v="0"/>
  </r>
  <r>
    <d v="2023-08-19T00:00:00"/>
    <x v="2"/>
    <x v="2"/>
    <n v="13"/>
    <x v="67"/>
    <n v="9643.5"/>
    <n v="16"/>
    <x v="5"/>
    <x v="1"/>
  </r>
  <r>
    <d v="2024-07-09T00:00:00"/>
    <x v="2"/>
    <x v="2"/>
    <n v="67"/>
    <x v="68"/>
    <n v="1789.6000000000001"/>
    <n v="5"/>
    <x v="2"/>
    <x v="1"/>
  </r>
  <r>
    <d v="2023-04-16T00:00:00"/>
    <x v="2"/>
    <x v="3"/>
    <n v="191"/>
    <x v="69"/>
    <n v="7574"/>
    <n v="6"/>
    <x v="8"/>
    <x v="1"/>
  </r>
  <r>
    <d v="2023-08-05T00:00:00"/>
    <x v="2"/>
    <x v="3"/>
    <n v="32"/>
    <x v="70"/>
    <n v="1066.2"/>
    <n v="10"/>
    <x v="8"/>
    <x v="1"/>
  </r>
  <r>
    <d v="2023-12-06T00:00:00"/>
    <x v="2"/>
    <x v="3"/>
    <n v="46"/>
    <x v="71"/>
    <n v="9279.4"/>
    <n v="13"/>
    <x v="1"/>
    <x v="0"/>
  </r>
  <r>
    <d v="2023-12-10T00:00:00"/>
    <x v="2"/>
    <x v="3"/>
    <n v="104"/>
    <x v="72"/>
    <n v="8566.4"/>
    <n v="22"/>
    <x v="3"/>
    <x v="1"/>
  </r>
  <r>
    <d v="2024-05-13T00:00:00"/>
    <x v="2"/>
    <x v="3"/>
    <n v="39"/>
    <x v="73"/>
    <n v="4507.8"/>
    <n v="10"/>
    <x v="5"/>
    <x v="1"/>
  </r>
  <r>
    <d v="2023-07-21T00:00:00"/>
    <x v="2"/>
    <x v="4"/>
    <n v="18"/>
    <x v="74"/>
    <n v="880.5"/>
    <n v="9"/>
    <x v="10"/>
    <x v="1"/>
  </r>
  <r>
    <d v="2023-09-01T00:00:00"/>
    <x v="2"/>
    <x v="4"/>
    <n v="111"/>
    <x v="75"/>
    <n v="5502.1"/>
    <n v="6"/>
    <x v="5"/>
    <x v="0"/>
  </r>
  <r>
    <d v="2023-11-05T00:00:00"/>
    <x v="2"/>
    <x v="4"/>
    <n v="145"/>
    <x v="76"/>
    <n v="5392.1"/>
    <n v="18"/>
    <x v="4"/>
    <x v="0"/>
  </r>
  <r>
    <d v="2023-05-11T00:00:00"/>
    <x v="3"/>
    <x v="0"/>
    <n v="197"/>
    <x v="77"/>
    <n v="5933.5"/>
    <n v="4"/>
    <x v="9"/>
    <x v="1"/>
  </r>
  <r>
    <d v="2023-02-22T00:00:00"/>
    <x v="3"/>
    <x v="1"/>
    <n v="114"/>
    <x v="78"/>
    <n v="3037.5"/>
    <n v="16"/>
    <x v="6"/>
    <x v="1"/>
  </r>
  <r>
    <d v="2023-09-28T00:00:00"/>
    <x v="3"/>
    <x v="1"/>
    <n v="189"/>
    <x v="79"/>
    <n v="336.8"/>
    <n v="30"/>
    <x v="3"/>
    <x v="0"/>
  </r>
  <r>
    <d v="2023-10-01T00:00:00"/>
    <x v="3"/>
    <x v="1"/>
    <n v="4"/>
    <x v="80"/>
    <n v="8173.8"/>
    <n v="19"/>
    <x v="5"/>
    <x v="0"/>
  </r>
  <r>
    <d v="2023-10-23T00:00:00"/>
    <x v="3"/>
    <x v="1"/>
    <n v="174"/>
    <x v="81"/>
    <n v="1450"/>
    <n v="23"/>
    <x v="1"/>
    <x v="0"/>
  </r>
  <r>
    <d v="2024-01-23T00:00:00"/>
    <x v="3"/>
    <x v="1"/>
    <n v="95"/>
    <x v="82"/>
    <n v="694.90000000000009"/>
    <n v="4"/>
    <x v="6"/>
    <x v="0"/>
  </r>
  <r>
    <d v="2024-04-03T00:00:00"/>
    <x v="3"/>
    <x v="1"/>
    <n v="148"/>
    <x v="83"/>
    <n v="1440.3000000000002"/>
    <n v="19"/>
    <x v="4"/>
    <x v="0"/>
  </r>
  <r>
    <d v="2024-04-21T00:00:00"/>
    <x v="3"/>
    <x v="1"/>
    <n v="160"/>
    <x v="84"/>
    <n v="6761.7000000000007"/>
    <n v="20"/>
    <x v="4"/>
    <x v="0"/>
  </r>
  <r>
    <d v="2023-02-10T00:00:00"/>
    <x v="3"/>
    <x v="2"/>
    <n v="60"/>
    <x v="85"/>
    <n v="4491.9000000000005"/>
    <n v="4"/>
    <x v="3"/>
    <x v="1"/>
  </r>
  <r>
    <d v="2023-05-11T00:00:00"/>
    <x v="3"/>
    <x v="2"/>
    <n v="195"/>
    <x v="86"/>
    <n v="9484.8000000000011"/>
    <n v="6"/>
    <x v="3"/>
    <x v="1"/>
  </r>
  <r>
    <d v="2023-12-04T00:00:00"/>
    <x v="3"/>
    <x v="2"/>
    <n v="24"/>
    <x v="87"/>
    <n v="5422.2000000000007"/>
    <n v="2"/>
    <x v="5"/>
    <x v="1"/>
  </r>
  <r>
    <d v="2023-03-22T00:00:00"/>
    <x v="3"/>
    <x v="3"/>
    <n v="46"/>
    <x v="88"/>
    <n v="3321.7000000000003"/>
    <n v="11"/>
    <x v="4"/>
    <x v="1"/>
  </r>
  <r>
    <d v="2023-04-10T00:00:00"/>
    <x v="3"/>
    <x v="3"/>
    <n v="135"/>
    <x v="89"/>
    <n v="1196.6000000000001"/>
    <n v="16"/>
    <x v="7"/>
    <x v="1"/>
  </r>
  <r>
    <d v="2023-09-09T00:00:00"/>
    <x v="3"/>
    <x v="3"/>
    <n v="104"/>
    <x v="90"/>
    <n v="434.3"/>
    <n v="21"/>
    <x v="4"/>
    <x v="1"/>
  </r>
  <r>
    <d v="2024-04-06T00:00:00"/>
    <x v="3"/>
    <x v="3"/>
    <n v="67"/>
    <x v="91"/>
    <n v="5755.6"/>
    <n v="1"/>
    <x v="10"/>
    <x v="1"/>
  </r>
  <r>
    <d v="2024-07-18T00:00:00"/>
    <x v="3"/>
    <x v="3"/>
    <n v="158"/>
    <x v="92"/>
    <n v="8461.3000000000011"/>
    <n v="5"/>
    <x v="11"/>
    <x v="1"/>
  </r>
  <r>
    <d v="2023-01-14T00:00:00"/>
    <x v="3"/>
    <x v="4"/>
    <n v="49"/>
    <x v="93"/>
    <n v="7452.3"/>
    <n v="14"/>
    <x v="0"/>
    <x v="1"/>
  </r>
  <r>
    <d v="2023-01-15T00:00:00"/>
    <x v="3"/>
    <x v="4"/>
    <n v="155"/>
    <x v="94"/>
    <n v="7004.2000000000007"/>
    <n v="15"/>
    <x v="0"/>
    <x v="1"/>
  </r>
  <r>
    <d v="2023-04-17T00:00:00"/>
    <x v="3"/>
    <x v="4"/>
    <n v="169"/>
    <x v="95"/>
    <n v="7857.5"/>
    <n v="17"/>
    <x v="5"/>
    <x v="1"/>
  </r>
  <r>
    <d v="2023-05-02T00:00:00"/>
    <x v="3"/>
    <x v="4"/>
    <n v="33"/>
    <x v="96"/>
    <n v="7742.9000000000005"/>
    <n v="2"/>
    <x v="1"/>
    <x v="1"/>
  </r>
  <r>
    <d v="2023-12-12T00:00:00"/>
    <x v="3"/>
    <x v="4"/>
    <n v="172"/>
    <x v="97"/>
    <n v="1801.9"/>
    <n v="12"/>
    <x v="8"/>
    <x v="1"/>
  </r>
  <r>
    <d v="2024-01-27T00:00:00"/>
    <x v="3"/>
    <x v="4"/>
    <n v="26"/>
    <x v="98"/>
    <n v="5229.3"/>
    <n v="27"/>
    <x v="0"/>
    <x v="0"/>
  </r>
  <r>
    <d v="2024-05-07T00:00:00"/>
    <x v="3"/>
    <x v="4"/>
    <n v="151"/>
    <x v="99"/>
    <n v="7466.6"/>
    <n v="7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C866F-6D99-479A-AA69-FFBEA8FF43C8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9">
    <pivotField numFmtId="164" showAll="0"/>
    <pivotField showAll="0">
      <items count="5">
        <item x="0"/>
        <item x="3"/>
        <item x="2"/>
        <item x="1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numFmtId="44" showAll="0">
      <items count="101">
        <item x="12"/>
        <item x="79"/>
        <item x="22"/>
        <item x="90"/>
        <item x="46"/>
        <item x="82"/>
        <item x="65"/>
        <item x="74"/>
        <item x="38"/>
        <item x="52"/>
        <item x="70"/>
        <item x="89"/>
        <item x="53"/>
        <item x="83"/>
        <item x="81"/>
        <item x="59"/>
        <item x="68"/>
        <item x="57"/>
        <item x="97"/>
        <item x="3"/>
        <item x="42"/>
        <item x="36"/>
        <item x="24"/>
        <item x="28"/>
        <item x="1"/>
        <item x="78"/>
        <item x="66"/>
        <item x="16"/>
        <item x="39"/>
        <item x="88"/>
        <item x="17"/>
        <item x="11"/>
        <item x="85"/>
        <item x="73"/>
        <item x="62"/>
        <item x="40"/>
        <item x="41"/>
        <item x="8"/>
        <item x="2"/>
        <item x="98"/>
        <item x="15"/>
        <item x="76"/>
        <item x="47"/>
        <item x="87"/>
        <item x="75"/>
        <item x="5"/>
        <item x="10"/>
        <item x="60"/>
        <item x="50"/>
        <item x="91"/>
        <item x="7"/>
        <item x="77"/>
        <item x="0"/>
        <item x="9"/>
        <item x="49"/>
        <item x="63"/>
        <item x="84"/>
        <item x="6"/>
        <item x="14"/>
        <item x="94"/>
        <item x="25"/>
        <item x="44"/>
        <item x="18"/>
        <item x="34"/>
        <item x="48"/>
        <item x="29"/>
        <item x="93"/>
        <item x="99"/>
        <item x="20"/>
        <item x="69"/>
        <item x="96"/>
        <item x="95"/>
        <item x="21"/>
        <item x="56"/>
        <item x="51"/>
        <item x="43"/>
        <item x="64"/>
        <item x="80"/>
        <item x="26"/>
        <item x="92"/>
        <item x="72"/>
        <item x="58"/>
        <item x="54"/>
        <item x="23"/>
        <item x="31"/>
        <item x="19"/>
        <item x="30"/>
        <item x="4"/>
        <item x="45"/>
        <item x="13"/>
        <item x="71"/>
        <item x="27"/>
        <item x="35"/>
        <item x="86"/>
        <item x="33"/>
        <item x="61"/>
        <item x="32"/>
        <item x="67"/>
        <item x="37"/>
        <item x="55"/>
        <item t="default"/>
      </items>
    </pivotField>
    <pivotField numFmtId="44" showAll="0"/>
    <pivotField showAll="0"/>
    <pivotField showAll="0">
      <items count="13">
        <item x="0"/>
        <item x="9"/>
        <item x="3"/>
        <item x="5"/>
        <item x="1"/>
        <item x="6"/>
        <item x="4"/>
        <item x="2"/>
        <item x="10"/>
        <item x="7"/>
        <item x="11"/>
        <item x="8"/>
        <item t="default"/>
      </items>
    </pivotField>
    <pivotField showAll="0">
      <items count="3">
        <item x="1"/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330D-BF73-41B6-B0CD-92D9037E96D8}">
  <dimension ref="A3:B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13" width="7" bestFit="1" customWidth="1"/>
    <col min="14" max="14" width="11.28515625" bestFit="1" customWidth="1"/>
  </cols>
  <sheetData>
    <row r="3" spans="1:2" x14ac:dyDescent="0.25">
      <c r="A3" s="11" t="s">
        <v>449</v>
      </c>
      <c r="B3" t="s">
        <v>451</v>
      </c>
    </row>
    <row r="4" spans="1:2" x14ac:dyDescent="0.25">
      <c r="A4" s="12" t="s">
        <v>8</v>
      </c>
      <c r="B4" s="13">
        <v>502946</v>
      </c>
    </row>
    <row r="5" spans="1:2" x14ac:dyDescent="0.25">
      <c r="A5" s="12" t="s">
        <v>12</v>
      </c>
      <c r="B5" s="13">
        <v>854486</v>
      </c>
    </row>
    <row r="6" spans="1:2" x14ac:dyDescent="0.25">
      <c r="A6" s="12" t="s">
        <v>446</v>
      </c>
      <c r="B6" s="13">
        <v>1457211</v>
      </c>
    </row>
    <row r="7" spans="1:2" x14ac:dyDescent="0.25">
      <c r="A7" s="12" t="s">
        <v>13</v>
      </c>
      <c r="B7" s="13">
        <v>1333393</v>
      </c>
    </row>
    <row r="8" spans="1:2" x14ac:dyDescent="0.25">
      <c r="A8" s="12" t="s">
        <v>10</v>
      </c>
      <c r="B8" s="13">
        <v>1410191</v>
      </c>
    </row>
    <row r="9" spans="1:2" x14ac:dyDescent="0.25">
      <c r="A9" s="12" t="s">
        <v>450</v>
      </c>
      <c r="B9" s="13">
        <v>5558227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1002"/>
  <sheetViews>
    <sheetView workbookViewId="0">
      <selection activeCell="N1" sqref="N1"/>
    </sheetView>
  </sheetViews>
  <sheetFormatPr defaultColWidth="14.42578125" defaultRowHeight="15" customHeight="1" x14ac:dyDescent="0.25"/>
  <cols>
    <col min="1" max="1" width="10.140625" customWidth="1"/>
    <col min="2" max="2" width="8.7109375" customWidth="1"/>
    <col min="3" max="3" width="12.42578125" bestFit="1" customWidth="1"/>
    <col min="4" max="4" width="8.7109375" customWidth="1"/>
    <col min="5" max="5" width="11.5703125" style="6" bestFit="1" customWidth="1"/>
    <col min="6" max="6" width="10.5703125" bestFit="1" customWidth="1"/>
    <col min="7" max="8" width="8.7109375" customWidth="1"/>
    <col min="9" max="9" width="14.28515625" bestFit="1" customWidth="1"/>
    <col min="10" max="10" width="8.7109375" customWidth="1"/>
    <col min="11" max="11" width="14.42578125" bestFit="1" customWidth="1"/>
    <col min="12" max="12" width="10.5703125" bestFit="1" customWidth="1"/>
    <col min="13" max="13" width="11.5703125" customWidth="1"/>
    <col min="14" max="26" width="8.7109375" customWidth="1"/>
  </cols>
  <sheetData>
    <row r="1" spans="1:14" ht="15" customHeight="1" x14ac:dyDescent="0.25">
      <c r="I1" t="s">
        <v>442</v>
      </c>
      <c r="K1" t="s">
        <v>443</v>
      </c>
      <c r="L1" t="s">
        <v>444</v>
      </c>
      <c r="M1" t="s">
        <v>445</v>
      </c>
    </row>
    <row r="2" spans="1:14" ht="15" customHeight="1" x14ac:dyDescent="0.25">
      <c r="I2" s="10">
        <f>SUM(E:E)-SUM(F:F)</f>
        <v>5002404.3</v>
      </c>
      <c r="K2" s="10">
        <f>MAX(E:E)</f>
        <v>97825</v>
      </c>
      <c r="L2" s="10">
        <f>MIN(E:E)</f>
        <v>2150</v>
      </c>
      <c r="M2">
        <f>COUNTIF(E:E,"&gt;30000")</f>
        <v>76</v>
      </c>
      <c r="N2">
        <f>AVERAGEIF(B:B,"east",E:E)</f>
        <v>59174.75</v>
      </c>
    </row>
    <row r="3" spans="1:14" ht="14.25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7" t="s">
        <v>4</v>
      </c>
      <c r="F3" s="9" t="s">
        <v>441</v>
      </c>
      <c r="G3" s="9" t="s">
        <v>0</v>
      </c>
      <c r="H3" s="9" t="s">
        <v>447</v>
      </c>
      <c r="I3" s="9" t="s">
        <v>448</v>
      </c>
    </row>
    <row r="4" spans="1:14" ht="14.25" customHeight="1" x14ac:dyDescent="0.25">
      <c r="A4" s="4">
        <v>45306</v>
      </c>
      <c r="B4" s="2" t="s">
        <v>5</v>
      </c>
      <c r="C4" s="2" t="s">
        <v>8</v>
      </c>
      <c r="D4" s="2">
        <v>86</v>
      </c>
      <c r="E4" s="8">
        <v>60638</v>
      </c>
      <c r="F4" s="10">
        <f>E4*0.1</f>
        <v>6063.8</v>
      </c>
      <c r="G4">
        <v>15</v>
      </c>
      <c r="H4">
        <v>1</v>
      </c>
      <c r="I4">
        <v>2024</v>
      </c>
      <c r="J4" t="str">
        <f>IF(sales_2025!E4&gt;40000,"high","low")</f>
        <v>high</v>
      </c>
      <c r="K4">
        <f>IF(AND(sales_2025!B4="north",sales_2025!E4&gt;50000),"target is achive",)</f>
        <v>0</v>
      </c>
    </row>
    <row r="5" spans="1:14" ht="14.25" customHeight="1" x14ac:dyDescent="0.25">
      <c r="A5" s="4">
        <v>45416</v>
      </c>
      <c r="B5" s="2" t="s">
        <v>5</v>
      </c>
      <c r="C5" s="2" t="s">
        <v>8</v>
      </c>
      <c r="D5" s="2">
        <v>152</v>
      </c>
      <c r="E5" s="8">
        <v>30124</v>
      </c>
      <c r="F5" s="10">
        <f>E5*0.1</f>
        <v>3012.4</v>
      </c>
      <c r="G5">
        <v>4</v>
      </c>
      <c r="H5">
        <v>5</v>
      </c>
      <c r="I5">
        <v>2024</v>
      </c>
      <c r="J5" t="str">
        <f>IF(sales_2025!E5&gt;40000,"high","low")</f>
        <v>low</v>
      </c>
      <c r="K5">
        <f>IF(AND(sales_2025!B5="north",sales_2025!E5&gt;50000),"target is achive",)</f>
        <v>0</v>
      </c>
    </row>
    <row r="6" spans="1:14" ht="14.25" customHeight="1" x14ac:dyDescent="0.25">
      <c r="A6" s="4">
        <v>45418</v>
      </c>
      <c r="B6" s="2" t="s">
        <v>5</v>
      </c>
      <c r="C6" s="2" t="s">
        <v>8</v>
      </c>
      <c r="D6" s="2">
        <v>33</v>
      </c>
      <c r="E6" s="8">
        <v>51300</v>
      </c>
      <c r="F6" s="10">
        <f>E6*0.1</f>
        <v>5130</v>
      </c>
      <c r="G6">
        <v>6</v>
      </c>
      <c r="H6">
        <v>5</v>
      </c>
      <c r="I6">
        <v>2024</v>
      </c>
      <c r="J6" t="str">
        <f>IF(sales_2025!E6&gt;40000,"high","low")</f>
        <v>high</v>
      </c>
      <c r="K6">
        <f>IF(AND(sales_2025!B6="north",sales_2025!E6&gt;50000),"target is achive",)</f>
        <v>0</v>
      </c>
    </row>
    <row r="7" spans="1:14" ht="14.25" customHeight="1" x14ac:dyDescent="0.25">
      <c r="A7" s="4">
        <v>45437</v>
      </c>
      <c r="B7" s="2" t="s">
        <v>5</v>
      </c>
      <c r="C7" s="2" t="s">
        <v>8</v>
      </c>
      <c r="D7" s="2">
        <v>27</v>
      </c>
      <c r="E7" s="8">
        <v>20508</v>
      </c>
      <c r="F7" s="10">
        <f>E7*0.1</f>
        <v>2050.8000000000002</v>
      </c>
      <c r="G7">
        <v>25</v>
      </c>
      <c r="H7">
        <v>5</v>
      </c>
      <c r="I7">
        <v>2024</v>
      </c>
      <c r="J7" t="str">
        <f>IF(sales_2025!E7&gt;40000,"high","low")</f>
        <v>low</v>
      </c>
      <c r="K7">
        <f>IF(AND(sales_2025!B7="north",sales_2025!E7&gt;50000),"target is achive",)</f>
        <v>0</v>
      </c>
    </row>
    <row r="8" spans="1:14" ht="14.25" hidden="1" customHeight="1" x14ac:dyDescent="0.25">
      <c r="A8" s="4">
        <v>45029</v>
      </c>
      <c r="B8" s="2" t="s">
        <v>5</v>
      </c>
      <c r="C8" s="2" t="s">
        <v>446</v>
      </c>
      <c r="D8" s="2">
        <v>54</v>
      </c>
      <c r="E8" s="8">
        <v>90912</v>
      </c>
      <c r="F8" s="10">
        <f>E8*0.1</f>
        <v>9091.2000000000007</v>
      </c>
      <c r="G8">
        <v>22</v>
      </c>
      <c r="H8">
        <v>1</v>
      </c>
      <c r="I8">
        <v>2023</v>
      </c>
      <c r="J8" t="str">
        <f>IF(sales_2025!E8&gt;40000,"high","low")</f>
        <v>high</v>
      </c>
      <c r="K8">
        <f>IF(AND(sales_2025!B8="north",sales_2025!E8&gt;50000),"target is achive",)</f>
        <v>0</v>
      </c>
    </row>
    <row r="9" spans="1:14" ht="14.25" hidden="1" customHeight="1" x14ac:dyDescent="0.25">
      <c r="A9" s="4">
        <v>45065</v>
      </c>
      <c r="B9" s="2" t="s">
        <v>5</v>
      </c>
      <c r="C9" s="2" t="s">
        <v>446</v>
      </c>
      <c r="D9" s="2">
        <v>176</v>
      </c>
      <c r="E9" s="8">
        <v>55340</v>
      </c>
      <c r="F9" s="10">
        <f>E9*0.1</f>
        <v>5534</v>
      </c>
      <c r="G9">
        <v>30</v>
      </c>
      <c r="H9">
        <v>8</v>
      </c>
      <c r="I9">
        <v>2023</v>
      </c>
      <c r="J9" t="str">
        <f>IF(sales_2025!E9&gt;40000,"high","low")</f>
        <v>high</v>
      </c>
      <c r="K9">
        <f>IF(AND(sales_2025!B9="north",sales_2025!E9&gt;50000),"target is achive",)</f>
        <v>0</v>
      </c>
    </row>
    <row r="10" spans="1:14" ht="14.25" hidden="1" customHeight="1" x14ac:dyDescent="0.25">
      <c r="A10" s="4">
        <v>45083</v>
      </c>
      <c r="B10" s="2" t="s">
        <v>5</v>
      </c>
      <c r="C10" s="2" t="s">
        <v>446</v>
      </c>
      <c r="D10" s="2">
        <v>127</v>
      </c>
      <c r="E10" s="8">
        <v>68215</v>
      </c>
      <c r="F10" s="10">
        <f>E10*0.1</f>
        <v>6821.5</v>
      </c>
      <c r="G10">
        <v>11</v>
      </c>
      <c r="H10">
        <v>3</v>
      </c>
      <c r="I10">
        <v>2024</v>
      </c>
      <c r="J10" t="str">
        <f>IF(sales_2025!E10&gt;40000,"high","low")</f>
        <v>high</v>
      </c>
      <c r="K10">
        <f>IF(AND(sales_2025!B10="north",sales_2025!E10&gt;50000),"target is achive",)</f>
        <v>0</v>
      </c>
    </row>
    <row r="11" spans="1:14" ht="14.25" hidden="1" customHeight="1" x14ac:dyDescent="0.25">
      <c r="A11" s="4">
        <v>45203</v>
      </c>
      <c r="B11" s="2" t="s">
        <v>5</v>
      </c>
      <c r="C11" s="2" t="s">
        <v>446</v>
      </c>
      <c r="D11" s="2">
        <v>119</v>
      </c>
      <c r="E11" s="8">
        <v>57661</v>
      </c>
      <c r="F11" s="10">
        <f>E11*0.1</f>
        <v>5766.1</v>
      </c>
      <c r="G11">
        <v>7</v>
      </c>
      <c r="H11">
        <v>7</v>
      </c>
      <c r="I11">
        <v>2023</v>
      </c>
      <c r="J11" t="str">
        <f>IF(sales_2025!E11&gt;40000,"high","low")</f>
        <v>high</v>
      </c>
      <c r="K11">
        <f>IF(AND(sales_2025!B11="north",sales_2025!E11&gt;50000),"target is achive",)</f>
        <v>0</v>
      </c>
    </row>
    <row r="12" spans="1:14" ht="14.25" hidden="1" customHeight="1" x14ac:dyDescent="0.25">
      <c r="A12" s="4">
        <v>45270</v>
      </c>
      <c r="B12" s="2" t="s">
        <v>5</v>
      </c>
      <c r="C12" s="2" t="s">
        <v>446</v>
      </c>
      <c r="D12" s="2">
        <v>128</v>
      </c>
      <c r="E12" s="8">
        <v>50726</v>
      </c>
      <c r="F12" s="10">
        <f>E12*0.1</f>
        <v>5072.6000000000004</v>
      </c>
      <c r="G12">
        <v>11</v>
      </c>
      <c r="H12">
        <v>5</v>
      </c>
      <c r="I12">
        <v>2023</v>
      </c>
      <c r="J12" t="str">
        <f>IF(sales_2025!E12&gt;40000,"high","low")</f>
        <v>high</v>
      </c>
      <c r="K12">
        <f>IF(AND(sales_2025!B12="north",sales_2025!E12&gt;50000),"target is achive",)</f>
        <v>0</v>
      </c>
    </row>
    <row r="13" spans="1:14" ht="14.25" hidden="1" customHeight="1" x14ac:dyDescent="0.25">
      <c r="A13" s="4">
        <v>45305</v>
      </c>
      <c r="B13" s="2" t="s">
        <v>5</v>
      </c>
      <c r="C13" s="2" t="s">
        <v>446</v>
      </c>
      <c r="D13" s="2">
        <v>153</v>
      </c>
      <c r="E13" s="8">
        <v>61403</v>
      </c>
      <c r="F13" s="10">
        <f>E13*0.1</f>
        <v>6140.3</v>
      </c>
      <c r="G13">
        <v>13</v>
      </c>
      <c r="H13">
        <v>4</v>
      </c>
      <c r="I13">
        <v>2023</v>
      </c>
      <c r="J13" t="str">
        <f>IF(sales_2025!E13&gt;40000,"high","low")</f>
        <v>high</v>
      </c>
      <c r="K13">
        <f>IF(AND(sales_2025!B13="north",sales_2025!E13&gt;50000),"target is achive",)</f>
        <v>0</v>
      </c>
    </row>
    <row r="14" spans="1:14" ht="14.25" hidden="1" customHeight="1" x14ac:dyDescent="0.25">
      <c r="A14" s="4">
        <v>45312</v>
      </c>
      <c r="B14" s="2" t="s">
        <v>5</v>
      </c>
      <c r="C14" s="2" t="s">
        <v>446</v>
      </c>
      <c r="D14" s="2">
        <v>187</v>
      </c>
      <c r="E14" s="8">
        <v>56609</v>
      </c>
      <c r="F14" s="10">
        <f>E14*0.1</f>
        <v>5660.9000000000005</v>
      </c>
      <c r="G14">
        <v>19</v>
      </c>
      <c r="H14">
        <v>5</v>
      </c>
      <c r="I14">
        <v>2023</v>
      </c>
      <c r="J14" t="str">
        <f>IF(sales_2025!E14&gt;40000,"high","low")</f>
        <v>high</v>
      </c>
      <c r="K14">
        <f>IF(AND(sales_2025!B14="north",sales_2025!E14&gt;50000),"target is achive",)</f>
        <v>0</v>
      </c>
    </row>
    <row r="15" spans="1:14" ht="14.25" hidden="1" customHeight="1" x14ac:dyDescent="0.25">
      <c r="A15" s="4">
        <v>45314</v>
      </c>
      <c r="B15" s="2" t="s">
        <v>5</v>
      </c>
      <c r="C15" s="2" t="s">
        <v>446</v>
      </c>
      <c r="D15" s="2">
        <v>35</v>
      </c>
      <c r="E15" s="8">
        <v>40734</v>
      </c>
      <c r="F15" s="10">
        <f>E15*0.1</f>
        <v>4073.4</v>
      </c>
      <c r="G15">
        <v>6</v>
      </c>
      <c r="H15">
        <v>6</v>
      </c>
      <c r="I15">
        <v>2023</v>
      </c>
      <c r="J15" t="str">
        <f>IF(sales_2025!E15&gt;40000,"high","low")</f>
        <v>high</v>
      </c>
      <c r="K15">
        <f>IF(AND(sales_2025!B15="north",sales_2025!E15&gt;50000),"target is achive",)</f>
        <v>0</v>
      </c>
    </row>
    <row r="16" spans="1:14" ht="14.25" hidden="1" customHeight="1" x14ac:dyDescent="0.25">
      <c r="A16" s="4">
        <v>45316</v>
      </c>
      <c r="B16" s="2" t="s">
        <v>5</v>
      </c>
      <c r="C16" s="2" t="s">
        <v>446</v>
      </c>
      <c r="D16" s="2">
        <v>188</v>
      </c>
      <c r="E16" s="8">
        <v>2150</v>
      </c>
      <c r="F16" s="10">
        <f>E16*0.1</f>
        <v>215</v>
      </c>
      <c r="G16">
        <v>4</v>
      </c>
      <c r="H16">
        <v>10</v>
      </c>
      <c r="I16">
        <v>2023</v>
      </c>
      <c r="J16" t="str">
        <f>IF(sales_2025!E16&gt;40000,"high","low")</f>
        <v>low</v>
      </c>
      <c r="K16">
        <f>IF(AND(sales_2025!B16="north",sales_2025!E16&gt;50000),"target is achive",)</f>
        <v>0</v>
      </c>
    </row>
    <row r="17" spans="1:11" ht="14.25" hidden="1" customHeight="1" x14ac:dyDescent="0.25">
      <c r="A17" s="4">
        <v>45393</v>
      </c>
      <c r="B17" s="2" t="s">
        <v>5</v>
      </c>
      <c r="C17" s="2" t="s">
        <v>446</v>
      </c>
      <c r="D17" s="2">
        <v>142</v>
      </c>
      <c r="E17" s="8">
        <v>92083</v>
      </c>
      <c r="F17" s="10">
        <f>E17*0.1</f>
        <v>9208.3000000000011</v>
      </c>
      <c r="G17">
        <v>10</v>
      </c>
      <c r="H17">
        <v>12</v>
      </c>
      <c r="I17">
        <v>2023</v>
      </c>
      <c r="J17" t="str">
        <f>IF(sales_2025!E17&gt;40000,"high","low")</f>
        <v>high</v>
      </c>
      <c r="K17">
        <f>IF(AND(sales_2025!B17="north",sales_2025!E17&gt;50000),"target is achive",)</f>
        <v>0</v>
      </c>
    </row>
    <row r="18" spans="1:11" ht="14.25" hidden="1" customHeight="1" x14ac:dyDescent="0.25">
      <c r="A18" s="4">
        <v>45487</v>
      </c>
      <c r="B18" s="2" t="s">
        <v>5</v>
      </c>
      <c r="C18" s="2" t="s">
        <v>446</v>
      </c>
      <c r="D18" s="2">
        <v>182</v>
      </c>
      <c r="E18" s="8">
        <v>69027</v>
      </c>
      <c r="F18" s="10">
        <f>E18*0.1</f>
        <v>6902.7000000000007</v>
      </c>
      <c r="G18">
        <v>14</v>
      </c>
      <c r="H18">
        <v>1</v>
      </c>
      <c r="I18">
        <v>2024</v>
      </c>
      <c r="J18" t="str">
        <f>IF(sales_2025!E18&gt;40000,"high","low")</f>
        <v>high</v>
      </c>
      <c r="K18">
        <f>IF(AND(sales_2025!B18="north",sales_2025!E18&gt;50000),"target is achive",)</f>
        <v>0</v>
      </c>
    </row>
    <row r="19" spans="1:11" ht="14.25" hidden="1" customHeight="1" x14ac:dyDescent="0.25">
      <c r="A19" s="4">
        <v>44928</v>
      </c>
      <c r="B19" s="2" t="s">
        <v>5</v>
      </c>
      <c r="C19" s="2" t="s">
        <v>12</v>
      </c>
      <c r="D19" s="2">
        <v>99</v>
      </c>
      <c r="E19" s="8">
        <v>52990</v>
      </c>
      <c r="F19" s="10">
        <f>E19*0.1</f>
        <v>5299</v>
      </c>
      <c r="G19">
        <v>21</v>
      </c>
      <c r="H19">
        <v>1</v>
      </c>
      <c r="I19">
        <v>2024</v>
      </c>
      <c r="J19" t="str">
        <f>IF(sales_2025!E19&gt;40000,"high","low")</f>
        <v>high</v>
      </c>
      <c r="K19">
        <f>IF(AND(sales_2025!B19="north",sales_2025!E19&gt;50000),"target is achive",)</f>
        <v>0</v>
      </c>
    </row>
    <row r="20" spans="1:11" ht="14.25" hidden="1" customHeight="1" x14ac:dyDescent="0.25">
      <c r="A20" s="4">
        <v>44947</v>
      </c>
      <c r="B20" s="2" t="s">
        <v>5</v>
      </c>
      <c r="C20" s="2" t="s">
        <v>12</v>
      </c>
      <c r="D20" s="2">
        <v>48</v>
      </c>
      <c r="E20" s="8">
        <v>33093</v>
      </c>
      <c r="F20" s="10">
        <f>E20*0.1</f>
        <v>3309.3</v>
      </c>
      <c r="G20">
        <v>23</v>
      </c>
      <c r="H20">
        <v>1</v>
      </c>
      <c r="I20">
        <v>2024</v>
      </c>
      <c r="J20" t="str">
        <f>IF(sales_2025!E20&gt;40000,"high","low")</f>
        <v>low</v>
      </c>
      <c r="K20">
        <f>IF(AND(sales_2025!B20="north",sales_2025!E20&gt;50000),"target is achive",)</f>
        <v>0</v>
      </c>
    </row>
    <row r="21" spans="1:11" ht="14.25" hidden="1" customHeight="1" x14ac:dyDescent="0.25">
      <c r="A21" s="4">
        <v>44954</v>
      </c>
      <c r="B21" s="2" t="s">
        <v>5</v>
      </c>
      <c r="C21" s="2" t="s">
        <v>12</v>
      </c>
      <c r="D21" s="2">
        <v>135</v>
      </c>
      <c r="E21" s="8">
        <v>36247</v>
      </c>
      <c r="F21" s="10">
        <f>E21*0.1</f>
        <v>3624.7000000000003</v>
      </c>
      <c r="G21">
        <v>25</v>
      </c>
      <c r="H21">
        <v>1</v>
      </c>
      <c r="I21">
        <v>2024</v>
      </c>
      <c r="J21" t="str">
        <f>IF(sales_2025!E21&gt;40000,"high","low")</f>
        <v>low</v>
      </c>
      <c r="K21">
        <f>IF(AND(sales_2025!B21="north",sales_2025!E21&gt;50000),"target is achive",)</f>
        <v>0</v>
      </c>
    </row>
    <row r="22" spans="1:11" ht="14.25" hidden="1" customHeight="1" x14ac:dyDescent="0.25">
      <c r="A22" s="4">
        <v>45386</v>
      </c>
      <c r="B22" s="2" t="s">
        <v>5</v>
      </c>
      <c r="C22" s="2" t="s">
        <v>12</v>
      </c>
      <c r="D22" s="2">
        <v>158</v>
      </c>
      <c r="E22" s="8">
        <v>71313</v>
      </c>
      <c r="F22" s="10">
        <f>E22*0.1</f>
        <v>7131.3</v>
      </c>
      <c r="G22">
        <v>11</v>
      </c>
      <c r="H22">
        <v>4</v>
      </c>
      <c r="I22">
        <v>2024</v>
      </c>
      <c r="J22" t="str">
        <f>IF(sales_2025!E22&gt;40000,"high","low")</f>
        <v>high</v>
      </c>
      <c r="K22">
        <f>IF(AND(sales_2025!B22="north",sales_2025!E22&gt;50000),"target is achive",)</f>
        <v>0</v>
      </c>
    </row>
    <row r="23" spans="1:11" ht="14.25" hidden="1" customHeight="1" x14ac:dyDescent="0.25">
      <c r="A23" s="4">
        <v>45141</v>
      </c>
      <c r="B23" s="2" t="s">
        <v>5</v>
      </c>
      <c r="C23" s="2" t="s">
        <v>13</v>
      </c>
      <c r="D23" s="2">
        <v>21</v>
      </c>
      <c r="E23" s="8">
        <v>88922</v>
      </c>
      <c r="F23" s="10">
        <f>E23*0.1</f>
        <v>8892.2000000000007</v>
      </c>
      <c r="G23">
        <v>14</v>
      </c>
      <c r="H23">
        <v>7</v>
      </c>
      <c r="I23">
        <v>2024</v>
      </c>
      <c r="J23" t="str">
        <f>IF(sales_2025!E23&gt;40000,"high","low")</f>
        <v>high</v>
      </c>
      <c r="K23">
        <f>IF(AND(sales_2025!B23="north",sales_2025!E23&gt;50000),"target is achive",)</f>
        <v>0</v>
      </c>
    </row>
    <row r="24" spans="1:11" ht="14.25" hidden="1" customHeight="1" x14ac:dyDescent="0.25">
      <c r="A24" s="4">
        <v>45293</v>
      </c>
      <c r="B24" s="2" t="s">
        <v>5</v>
      </c>
      <c r="C24" s="2" t="s">
        <v>13</v>
      </c>
      <c r="D24" s="2">
        <v>6</v>
      </c>
      <c r="E24" s="8">
        <v>74847</v>
      </c>
      <c r="F24" s="10">
        <f>E24*0.1</f>
        <v>7484.7000000000007</v>
      </c>
      <c r="G24">
        <v>9</v>
      </c>
      <c r="H24">
        <v>5</v>
      </c>
      <c r="I24">
        <v>2023</v>
      </c>
      <c r="J24" t="str">
        <f>IF(sales_2025!E24&gt;40000,"high","low")</f>
        <v>high</v>
      </c>
      <c r="K24">
        <f>IF(AND(sales_2025!B24="north",sales_2025!E24&gt;50000),"target is achive",)</f>
        <v>0</v>
      </c>
    </row>
    <row r="25" spans="1:11" ht="14.25" hidden="1" customHeight="1" x14ac:dyDescent="0.25">
      <c r="A25" s="4">
        <v>45299</v>
      </c>
      <c r="B25" s="2" t="s">
        <v>5</v>
      </c>
      <c r="C25" s="2" t="s">
        <v>13</v>
      </c>
      <c r="D25" s="2">
        <v>136</v>
      </c>
      <c r="E25" s="8">
        <v>79657</v>
      </c>
      <c r="F25" s="10">
        <f>E25*0.1</f>
        <v>7965.7000000000007</v>
      </c>
      <c r="G25">
        <v>18</v>
      </c>
      <c r="H25">
        <v>2</v>
      </c>
      <c r="I25">
        <v>2024</v>
      </c>
      <c r="J25" t="str">
        <f>IF(sales_2025!E25&gt;40000,"high","low")</f>
        <v>high</v>
      </c>
      <c r="K25">
        <f>IF(AND(sales_2025!B25="north",sales_2025!E25&gt;50000),"target is achive",)</f>
        <v>0</v>
      </c>
    </row>
    <row r="26" spans="1:11" ht="14.25" hidden="1" customHeight="1" x14ac:dyDescent="0.25">
      <c r="A26" s="4">
        <v>45402</v>
      </c>
      <c r="B26" s="2" t="s">
        <v>5</v>
      </c>
      <c r="C26" s="2" t="s">
        <v>13</v>
      </c>
      <c r="D26" s="2">
        <v>21</v>
      </c>
      <c r="E26" s="8">
        <v>4051</v>
      </c>
      <c r="F26" s="10">
        <f>E26*0.1</f>
        <v>405.1</v>
      </c>
      <c r="G26">
        <v>23</v>
      </c>
      <c r="H26">
        <v>2</v>
      </c>
      <c r="I26">
        <v>2024</v>
      </c>
      <c r="J26" t="str">
        <f>IF(sales_2025!E26&gt;40000,"high","low")</f>
        <v>low</v>
      </c>
      <c r="K26">
        <f>IF(AND(sales_2025!B26="north",sales_2025!E26&gt;50000),"target is achive",)</f>
        <v>0</v>
      </c>
    </row>
    <row r="27" spans="1:11" ht="14.25" hidden="1" customHeight="1" x14ac:dyDescent="0.25">
      <c r="A27" s="4">
        <v>45489</v>
      </c>
      <c r="B27" s="2" t="s">
        <v>5</v>
      </c>
      <c r="C27" s="2" t="s">
        <v>13</v>
      </c>
      <c r="D27" s="2">
        <v>97</v>
      </c>
      <c r="E27" s="8">
        <v>88142</v>
      </c>
      <c r="F27" s="10">
        <f>E27*0.1</f>
        <v>8814.2000000000007</v>
      </c>
      <c r="G27">
        <v>15</v>
      </c>
      <c r="H27">
        <v>7</v>
      </c>
      <c r="I27">
        <v>2024</v>
      </c>
      <c r="J27" t="str">
        <f>IF(sales_2025!E27&gt;40000,"high","low")</f>
        <v>high</v>
      </c>
      <c r="K27">
        <f>IF(AND(sales_2025!B27="north",sales_2025!E27&gt;50000),"target is achive",)</f>
        <v>0</v>
      </c>
    </row>
    <row r="28" spans="1:11" ht="14.25" hidden="1" customHeight="1" x14ac:dyDescent="0.25">
      <c r="A28" s="4">
        <v>44961</v>
      </c>
      <c r="B28" s="2" t="s">
        <v>5</v>
      </c>
      <c r="C28" s="2" t="s">
        <v>10</v>
      </c>
      <c r="D28" s="2">
        <v>24</v>
      </c>
      <c r="E28" s="8">
        <v>26945</v>
      </c>
      <c r="F28" s="10">
        <f>E28*0.1</f>
        <v>2694.5</v>
      </c>
      <c r="G28">
        <v>10</v>
      </c>
      <c r="H28">
        <v>2</v>
      </c>
      <c r="I28">
        <v>2023</v>
      </c>
      <c r="J28" t="str">
        <f>IF(sales_2025!E28&gt;40000,"high","low")</f>
        <v>low</v>
      </c>
      <c r="K28">
        <f>IF(AND(sales_2025!B28="north",sales_2025!E28&gt;50000),"target is achive",)</f>
        <v>0</v>
      </c>
    </row>
    <row r="29" spans="1:11" ht="14.25" hidden="1" customHeight="1" x14ac:dyDescent="0.25">
      <c r="A29" s="4">
        <v>45093</v>
      </c>
      <c r="B29" s="2" t="s">
        <v>5</v>
      </c>
      <c r="C29" s="2" t="s">
        <v>10</v>
      </c>
      <c r="D29" s="2">
        <v>147</v>
      </c>
      <c r="E29" s="8">
        <v>70678</v>
      </c>
      <c r="F29" s="10">
        <f>E29*0.1</f>
        <v>7067.8</v>
      </c>
      <c r="G29">
        <v>10</v>
      </c>
      <c r="H29">
        <v>9</v>
      </c>
      <c r="I29">
        <v>2023</v>
      </c>
      <c r="J29" t="str">
        <f>IF(sales_2025!E29&gt;40000,"high","low")</f>
        <v>high</v>
      </c>
      <c r="K29">
        <f>IF(AND(sales_2025!B29="north",sales_2025!E29&gt;50000),"target is achive",)</f>
        <v>0</v>
      </c>
    </row>
    <row r="30" spans="1:11" ht="14.25" hidden="1" customHeight="1" x14ac:dyDescent="0.25">
      <c r="A30" s="4">
        <v>45381</v>
      </c>
      <c r="B30" s="2" t="s">
        <v>5</v>
      </c>
      <c r="C30" s="2" t="s">
        <v>10</v>
      </c>
      <c r="D30" s="2">
        <v>99</v>
      </c>
      <c r="E30" s="8">
        <v>83750</v>
      </c>
      <c r="F30" s="10">
        <f>E30*0.1</f>
        <v>8375</v>
      </c>
      <c r="G30">
        <v>27</v>
      </c>
      <c r="H30">
        <v>11</v>
      </c>
      <c r="I30">
        <v>2023</v>
      </c>
      <c r="J30" t="str">
        <f>IF(sales_2025!E30&gt;40000,"high","low")</f>
        <v>high</v>
      </c>
      <c r="K30">
        <f>IF(AND(sales_2025!B30="north",sales_2025!E30&gt;50000),"target is achive",)</f>
        <v>0</v>
      </c>
    </row>
    <row r="31" spans="1:11" ht="14.25" hidden="1" customHeight="1" x14ac:dyDescent="0.25">
      <c r="A31" s="4">
        <v>45401</v>
      </c>
      <c r="B31" s="2" t="s">
        <v>5</v>
      </c>
      <c r="C31" s="2" t="s">
        <v>10</v>
      </c>
      <c r="D31" s="2">
        <v>8</v>
      </c>
      <c r="E31" s="8">
        <v>93772</v>
      </c>
      <c r="F31" s="10">
        <f>E31*0.1</f>
        <v>9377.2000000000007</v>
      </c>
      <c r="G31">
        <v>6</v>
      </c>
      <c r="H31">
        <v>2</v>
      </c>
      <c r="I31">
        <v>2024</v>
      </c>
      <c r="J31" t="str">
        <f>IF(sales_2025!E31&gt;40000,"high","low")</f>
        <v>high</v>
      </c>
      <c r="K31">
        <f>IF(AND(sales_2025!B31="north",sales_2025!E31&gt;50000),"target is achive",)</f>
        <v>0</v>
      </c>
    </row>
    <row r="32" spans="1:11" ht="14.25" hidden="1" customHeight="1" x14ac:dyDescent="0.25">
      <c r="A32" s="4">
        <v>45435</v>
      </c>
      <c r="B32" s="2" t="s">
        <v>5</v>
      </c>
      <c r="C32" s="2" t="s">
        <v>10</v>
      </c>
      <c r="D32" s="2">
        <v>37</v>
      </c>
      <c r="E32" s="8">
        <v>29251</v>
      </c>
      <c r="F32" s="10">
        <f>E32*0.1</f>
        <v>2925.1000000000004</v>
      </c>
      <c r="G32">
        <v>31</v>
      </c>
      <c r="H32">
        <v>3</v>
      </c>
      <c r="I32">
        <v>2024</v>
      </c>
      <c r="J32" t="str">
        <f>IF(sales_2025!E32&gt;40000,"high","low")</f>
        <v>low</v>
      </c>
      <c r="K32">
        <f>IF(AND(sales_2025!B32="north",sales_2025!E32&gt;50000),"target is achive",)</f>
        <v>0</v>
      </c>
    </row>
    <row r="33" spans="1:11" ht="14.25" hidden="1" customHeight="1" x14ac:dyDescent="0.25">
      <c r="A33" s="4">
        <v>45447</v>
      </c>
      <c r="B33" s="2" t="s">
        <v>5</v>
      </c>
      <c r="C33" s="2" t="s">
        <v>10</v>
      </c>
      <c r="D33" s="2">
        <v>17</v>
      </c>
      <c r="E33" s="8">
        <v>73789</v>
      </c>
      <c r="F33" s="10">
        <f>E33*0.1</f>
        <v>7378.9000000000005</v>
      </c>
      <c r="G33">
        <v>19</v>
      </c>
      <c r="H33">
        <v>5</v>
      </c>
      <c r="I33">
        <v>2024</v>
      </c>
      <c r="J33" t="str">
        <f>IF(sales_2025!E33&gt;40000,"high","low")</f>
        <v>high</v>
      </c>
      <c r="K33">
        <f>IF(AND(sales_2025!B33="north",sales_2025!E33&gt;50000),"target is achive",)</f>
        <v>0</v>
      </c>
    </row>
    <row r="34" spans="1:11" ht="14.25" hidden="1" customHeight="1" x14ac:dyDescent="0.25">
      <c r="A34" s="4">
        <v>45492</v>
      </c>
      <c r="B34" s="2" t="s">
        <v>5</v>
      </c>
      <c r="C34" s="2" t="s">
        <v>10</v>
      </c>
      <c r="D34" s="2">
        <v>116</v>
      </c>
      <c r="E34" s="8">
        <v>90480</v>
      </c>
      <c r="F34" s="10">
        <f>E34*0.1</f>
        <v>9048</v>
      </c>
      <c r="G34">
        <v>22</v>
      </c>
      <c r="H34">
        <v>2</v>
      </c>
      <c r="I34">
        <v>2023</v>
      </c>
      <c r="J34" t="str">
        <f>IF(sales_2025!E34&gt;40000,"high","low")</f>
        <v>high</v>
      </c>
      <c r="K34">
        <f>IF(AND(sales_2025!B34="north",sales_2025!E34&gt;50000),"target is achive",)</f>
        <v>0</v>
      </c>
    </row>
    <row r="35" spans="1:11" ht="14.25" hidden="1" customHeight="1" x14ac:dyDescent="0.25">
      <c r="A35" s="4">
        <v>45493</v>
      </c>
      <c r="B35" s="2" t="s">
        <v>5</v>
      </c>
      <c r="C35" s="2" t="s">
        <v>10</v>
      </c>
      <c r="D35" s="2">
        <v>28</v>
      </c>
      <c r="E35" s="8">
        <v>88235</v>
      </c>
      <c r="F35" s="10">
        <f>E35*0.1</f>
        <v>8823.5</v>
      </c>
      <c r="G35">
        <v>28</v>
      </c>
      <c r="H35">
        <v>9</v>
      </c>
      <c r="I35">
        <v>2023</v>
      </c>
      <c r="J35" t="str">
        <f>IF(sales_2025!E35&gt;40000,"high","low")</f>
        <v>high</v>
      </c>
      <c r="K35">
        <f>IF(AND(sales_2025!B35="north",sales_2025!E35&gt;50000),"target is achive",)</f>
        <v>0</v>
      </c>
    </row>
    <row r="36" spans="1:11" ht="14.25" customHeight="1" x14ac:dyDescent="0.25">
      <c r="A36" s="4">
        <v>44948</v>
      </c>
      <c r="B36" s="2" t="s">
        <v>7</v>
      </c>
      <c r="C36" s="2" t="s">
        <v>8</v>
      </c>
      <c r="D36" s="2">
        <v>109</v>
      </c>
      <c r="E36" s="8">
        <v>96285</v>
      </c>
      <c r="F36" s="10">
        <f>E36*0.1</f>
        <v>9628.5</v>
      </c>
      <c r="G36">
        <v>1</v>
      </c>
      <c r="H36">
        <v>10</v>
      </c>
      <c r="I36">
        <v>2023</v>
      </c>
      <c r="J36" t="str">
        <f>IF(sales_2025!E36&gt;40000,"high","low")</f>
        <v>high</v>
      </c>
      <c r="K36" t="str">
        <f>IF(AND(sales_2025!B36="north",sales_2025!E36&gt;50000),"target is achive",)</f>
        <v>target is achive</v>
      </c>
    </row>
    <row r="37" spans="1:11" ht="14.25" customHeight="1" x14ac:dyDescent="0.25">
      <c r="A37" s="4">
        <v>45168</v>
      </c>
      <c r="B37" s="2" t="s">
        <v>7</v>
      </c>
      <c r="C37" s="2" t="s">
        <v>8</v>
      </c>
      <c r="D37" s="2">
        <v>17</v>
      </c>
      <c r="E37" s="8">
        <v>95476</v>
      </c>
      <c r="F37" s="10">
        <f>E37*0.1</f>
        <v>9547.6</v>
      </c>
      <c r="G37">
        <v>23</v>
      </c>
      <c r="H37">
        <v>10</v>
      </c>
      <c r="I37">
        <v>2023</v>
      </c>
      <c r="J37" t="str">
        <f>IF(sales_2025!E37&gt;40000,"high","low")</f>
        <v>high</v>
      </c>
      <c r="K37" t="str">
        <f>IF(AND(sales_2025!B37="north",sales_2025!E37&gt;50000),"target is achive",)</f>
        <v>target is achive</v>
      </c>
    </row>
    <row r="38" spans="1:11" ht="14.25" customHeight="1" x14ac:dyDescent="0.25">
      <c r="A38" s="4">
        <v>45362</v>
      </c>
      <c r="B38" s="2" t="s">
        <v>7</v>
      </c>
      <c r="C38" s="2" t="s">
        <v>8</v>
      </c>
      <c r="D38" s="2">
        <v>163</v>
      </c>
      <c r="E38" s="8">
        <v>71316</v>
      </c>
      <c r="F38" s="10">
        <f>E38*0.1</f>
        <v>7131.6</v>
      </c>
      <c r="G38">
        <v>23</v>
      </c>
      <c r="H38">
        <v>1</v>
      </c>
      <c r="I38">
        <v>2024</v>
      </c>
      <c r="J38" t="str">
        <f>IF(sales_2025!E38&gt;40000,"high","low")</f>
        <v>high</v>
      </c>
      <c r="K38" t="str">
        <f>IF(AND(sales_2025!B38="north",sales_2025!E38&gt;50000),"target is achive",)</f>
        <v>target is achive</v>
      </c>
    </row>
    <row r="39" spans="1:11" ht="14.25" hidden="1" customHeight="1" x14ac:dyDescent="0.25">
      <c r="A39" s="4">
        <v>45055</v>
      </c>
      <c r="B39" s="2" t="s">
        <v>7</v>
      </c>
      <c r="C39" s="2" t="s">
        <v>446</v>
      </c>
      <c r="D39" s="2">
        <v>161</v>
      </c>
      <c r="E39" s="8">
        <v>94468</v>
      </c>
      <c r="F39" s="10">
        <f>E39*0.1</f>
        <v>9446.8000000000011</v>
      </c>
      <c r="G39">
        <v>3</v>
      </c>
      <c r="H39">
        <v>4</v>
      </c>
      <c r="I39">
        <v>2024</v>
      </c>
      <c r="J39" t="str">
        <f>IF(sales_2025!E39&gt;40000,"high","low")</f>
        <v>high</v>
      </c>
      <c r="K39" t="str">
        <f>IF(AND(sales_2025!B39="north",sales_2025!E39&gt;50000),"target is achive",)</f>
        <v>target is achive</v>
      </c>
    </row>
    <row r="40" spans="1:11" ht="14.25" hidden="1" customHeight="1" x14ac:dyDescent="0.25">
      <c r="A40" s="4">
        <v>45340</v>
      </c>
      <c r="B40" s="2" t="s">
        <v>7</v>
      </c>
      <c r="C40" s="2" t="s">
        <v>446</v>
      </c>
      <c r="D40" s="2">
        <v>176</v>
      </c>
      <c r="E40" s="8">
        <v>23677</v>
      </c>
      <c r="F40" s="10">
        <f>E40*0.1</f>
        <v>2367.7000000000003</v>
      </c>
      <c r="G40">
        <v>21</v>
      </c>
      <c r="H40">
        <v>4</v>
      </c>
      <c r="I40">
        <v>2024</v>
      </c>
      <c r="J40" t="str">
        <f>IF(sales_2025!E40&gt;40000,"high","low")</f>
        <v>low</v>
      </c>
      <c r="K40">
        <f>IF(AND(sales_2025!B40="north",sales_2025!E40&gt;50000),"target is achive",)</f>
        <v>0</v>
      </c>
    </row>
    <row r="41" spans="1:11" ht="14.25" hidden="1" customHeight="1" x14ac:dyDescent="0.25">
      <c r="A41" s="4">
        <v>45345</v>
      </c>
      <c r="B41" s="2" t="s">
        <v>7</v>
      </c>
      <c r="C41" s="2" t="s">
        <v>446</v>
      </c>
      <c r="D41" s="2">
        <v>99</v>
      </c>
      <c r="E41" s="8">
        <v>96981</v>
      </c>
      <c r="F41" s="10">
        <f>E41*0.1</f>
        <v>9698.1</v>
      </c>
      <c r="G41">
        <v>2</v>
      </c>
      <c r="H41">
        <v>1</v>
      </c>
      <c r="I41">
        <v>2023</v>
      </c>
      <c r="J41" t="str">
        <f>IF(sales_2025!E41&gt;40000,"high","low")</f>
        <v>high</v>
      </c>
      <c r="K41" t="str">
        <f>IF(AND(sales_2025!B41="north",sales_2025!E41&gt;50000),"target is achive",)</f>
        <v>target is achive</v>
      </c>
    </row>
    <row r="42" spans="1:11" ht="14.25" hidden="1" customHeight="1" x14ac:dyDescent="0.25">
      <c r="A42" s="4">
        <v>45488</v>
      </c>
      <c r="B42" s="2" t="s">
        <v>7</v>
      </c>
      <c r="C42" s="2" t="s">
        <v>446</v>
      </c>
      <c r="D42" s="2">
        <v>181</v>
      </c>
      <c r="E42" s="8">
        <v>9308</v>
      </c>
      <c r="F42" s="10">
        <f>E42*0.1</f>
        <v>930.80000000000007</v>
      </c>
      <c r="G42">
        <v>21</v>
      </c>
      <c r="H42">
        <v>1</v>
      </c>
      <c r="I42">
        <v>2023</v>
      </c>
      <c r="J42" t="str">
        <f>IF(sales_2025!E42&gt;40000,"high","low")</f>
        <v>low</v>
      </c>
      <c r="K42">
        <f>IF(AND(sales_2025!B42="north",sales_2025!E42&gt;50000),"target is achive",)</f>
        <v>0</v>
      </c>
    </row>
    <row r="43" spans="1:11" ht="14.25" hidden="1" customHeight="1" x14ac:dyDescent="0.25">
      <c r="A43" s="4">
        <v>45014</v>
      </c>
      <c r="B43" s="2" t="s">
        <v>7</v>
      </c>
      <c r="C43" s="2" t="s">
        <v>12</v>
      </c>
      <c r="D43" s="2">
        <v>128</v>
      </c>
      <c r="E43" s="8">
        <v>33097</v>
      </c>
      <c r="F43" s="10">
        <f>E43*0.1</f>
        <v>3309.7000000000003</v>
      </c>
      <c r="G43">
        <v>28</v>
      </c>
      <c r="H43">
        <v>1</v>
      </c>
      <c r="I43">
        <v>2023</v>
      </c>
      <c r="J43" t="str">
        <f>IF(sales_2025!E43&gt;40000,"high","low")</f>
        <v>low</v>
      </c>
      <c r="K43">
        <f>IF(AND(sales_2025!B43="north",sales_2025!E43&gt;50000),"target is achive",)</f>
        <v>0</v>
      </c>
    </row>
    <row r="44" spans="1:11" ht="14.25" hidden="1" customHeight="1" x14ac:dyDescent="0.25">
      <c r="A44" s="4">
        <v>45088</v>
      </c>
      <c r="B44" s="2" t="s">
        <v>7</v>
      </c>
      <c r="C44" s="2" t="s">
        <v>12</v>
      </c>
      <c r="D44" s="2">
        <v>128</v>
      </c>
      <c r="E44" s="8">
        <v>47175</v>
      </c>
      <c r="F44" s="10">
        <f>E44*0.1</f>
        <v>4717.5</v>
      </c>
      <c r="G44">
        <v>4</v>
      </c>
      <c r="H44">
        <v>4</v>
      </c>
      <c r="I44">
        <v>2024</v>
      </c>
      <c r="J44" t="str">
        <f>IF(sales_2025!E44&gt;40000,"high","low")</f>
        <v>high</v>
      </c>
      <c r="K44">
        <f>IF(AND(sales_2025!B44="north",sales_2025!E44&gt;50000),"target is achive",)</f>
        <v>0</v>
      </c>
    </row>
    <row r="45" spans="1:11" ht="14.25" hidden="1" customHeight="1" x14ac:dyDescent="0.25">
      <c r="A45" s="4">
        <v>45116</v>
      </c>
      <c r="B45" s="2" t="s">
        <v>7</v>
      </c>
      <c r="C45" s="2" t="s">
        <v>12</v>
      </c>
      <c r="D45" s="2">
        <v>30</v>
      </c>
      <c r="E45" s="8">
        <v>49747</v>
      </c>
      <c r="F45" s="10">
        <f>E45*0.1</f>
        <v>4974.7000000000007</v>
      </c>
      <c r="G45">
        <v>29</v>
      </c>
      <c r="H45">
        <v>3</v>
      </c>
      <c r="I45">
        <v>2023</v>
      </c>
      <c r="J45" t="str">
        <f>IF(sales_2025!E45&gt;40000,"high","low")</f>
        <v>high</v>
      </c>
      <c r="K45">
        <f>IF(AND(sales_2025!B45="north",sales_2025!E45&gt;50000),"target is achive",)</f>
        <v>0</v>
      </c>
    </row>
    <row r="46" spans="1:11" ht="14.25" hidden="1" customHeight="1" x14ac:dyDescent="0.25">
      <c r="A46" s="4">
        <v>45197</v>
      </c>
      <c r="B46" s="2" t="s">
        <v>7</v>
      </c>
      <c r="C46" s="2" t="s">
        <v>12</v>
      </c>
      <c r="D46" s="2">
        <v>54</v>
      </c>
      <c r="E46" s="8">
        <v>21056</v>
      </c>
      <c r="F46" s="10">
        <f>E46*0.1</f>
        <v>2105.6</v>
      </c>
      <c r="G46">
        <v>11</v>
      </c>
      <c r="H46">
        <v>6</v>
      </c>
      <c r="I46">
        <v>2023</v>
      </c>
      <c r="J46" t="str">
        <f>IF(sales_2025!E46&gt;40000,"high","low")</f>
        <v>low</v>
      </c>
      <c r="K46">
        <f>IF(AND(sales_2025!B46="north",sales_2025!E46&gt;50000),"target is achive",)</f>
        <v>0</v>
      </c>
    </row>
    <row r="47" spans="1:11" ht="14.25" hidden="1" customHeight="1" x14ac:dyDescent="0.25">
      <c r="A47" s="4">
        <v>45354</v>
      </c>
      <c r="B47" s="2" t="s">
        <v>7</v>
      </c>
      <c r="C47" s="2" t="s">
        <v>12</v>
      </c>
      <c r="D47" s="2">
        <v>124</v>
      </c>
      <c r="E47" s="8">
        <v>80634</v>
      </c>
      <c r="F47" s="10">
        <f>E47*0.1</f>
        <v>8063.4000000000005</v>
      </c>
      <c r="G47">
        <v>9</v>
      </c>
      <c r="H47">
        <v>7</v>
      </c>
      <c r="I47">
        <v>2023</v>
      </c>
      <c r="J47" t="str">
        <f>IF(sales_2025!E47&gt;40000,"high","low")</f>
        <v>high</v>
      </c>
      <c r="K47" t="str">
        <f>IF(AND(sales_2025!B47="north",sales_2025!E47&gt;50000),"target is achive",)</f>
        <v>target is achive</v>
      </c>
    </row>
    <row r="48" spans="1:11" ht="14.25" hidden="1" customHeight="1" x14ac:dyDescent="0.25">
      <c r="A48" s="4">
        <v>44947</v>
      </c>
      <c r="B48" s="2" t="s">
        <v>7</v>
      </c>
      <c r="C48" s="2" t="s">
        <v>13</v>
      </c>
      <c r="D48" s="2">
        <v>68</v>
      </c>
      <c r="E48" s="8">
        <v>71031</v>
      </c>
      <c r="F48" s="10">
        <f>E48*0.1</f>
        <v>7103.1</v>
      </c>
      <c r="G48">
        <v>28</v>
      </c>
      <c r="H48">
        <v>9</v>
      </c>
      <c r="I48">
        <v>2023</v>
      </c>
      <c r="J48" t="str">
        <f>IF(sales_2025!E48&gt;40000,"high","low")</f>
        <v>high</v>
      </c>
      <c r="K48" t="str">
        <f>IF(AND(sales_2025!B48="north",sales_2025!E48&gt;50000),"target is achive",)</f>
        <v>target is achive</v>
      </c>
    </row>
    <row r="49" spans="1:11" ht="14.25" hidden="1" customHeight="1" x14ac:dyDescent="0.25">
      <c r="A49" s="4">
        <v>45132</v>
      </c>
      <c r="B49" s="2" t="s">
        <v>7</v>
      </c>
      <c r="C49" s="2" t="s">
        <v>13</v>
      </c>
      <c r="D49" s="2">
        <v>93</v>
      </c>
      <c r="E49" s="8">
        <v>91852</v>
      </c>
      <c r="F49" s="10">
        <f>E49*0.1</f>
        <v>9185.2000000000007</v>
      </c>
      <c r="G49">
        <v>3</v>
      </c>
      <c r="H49">
        <v>3</v>
      </c>
      <c r="I49">
        <v>2024</v>
      </c>
      <c r="J49" t="str">
        <f>IF(sales_2025!E49&gt;40000,"high","low")</f>
        <v>high</v>
      </c>
      <c r="K49" t="str">
        <f>IF(AND(sales_2025!B49="north",sales_2025!E49&gt;50000),"target is achive",)</f>
        <v>target is achive</v>
      </c>
    </row>
    <row r="50" spans="1:11" ht="14.25" hidden="1" customHeight="1" x14ac:dyDescent="0.25">
      <c r="A50" s="4">
        <v>45196</v>
      </c>
      <c r="B50" s="2" t="s">
        <v>7</v>
      </c>
      <c r="C50" s="2" t="s">
        <v>13</v>
      </c>
      <c r="D50" s="2">
        <v>25</v>
      </c>
      <c r="E50" s="8">
        <v>6237</v>
      </c>
      <c r="F50" s="10">
        <f>E50*0.1</f>
        <v>623.70000000000005</v>
      </c>
      <c r="G50">
        <v>28</v>
      </c>
      <c r="H50">
        <v>2</v>
      </c>
      <c r="I50">
        <v>2023</v>
      </c>
      <c r="J50" t="str">
        <f>IF(sales_2025!E50&gt;40000,"high","low")</f>
        <v>low</v>
      </c>
      <c r="K50">
        <f>IF(AND(sales_2025!B50="north",sales_2025!E50&gt;50000),"target is achive",)</f>
        <v>0</v>
      </c>
    </row>
    <row r="51" spans="1:11" ht="14.25" hidden="1" customHeight="1" x14ac:dyDescent="0.25">
      <c r="A51" s="4">
        <v>45240</v>
      </c>
      <c r="B51" s="2" t="s">
        <v>7</v>
      </c>
      <c r="C51" s="2" t="s">
        <v>13</v>
      </c>
      <c r="D51" s="2">
        <v>38</v>
      </c>
      <c r="E51" s="8">
        <v>54006</v>
      </c>
      <c r="F51" s="10">
        <f>E51*0.1</f>
        <v>5400.6</v>
      </c>
      <c r="G51">
        <v>13</v>
      </c>
      <c r="H51">
        <v>3</v>
      </c>
      <c r="I51">
        <v>2023</v>
      </c>
      <c r="J51" t="str">
        <f>IF(sales_2025!E51&gt;40000,"high","low")</f>
        <v>high</v>
      </c>
      <c r="K51" t="str">
        <f>IF(AND(sales_2025!B51="north",sales_2025!E51&gt;50000),"target is achive",)</f>
        <v>target is achive</v>
      </c>
    </row>
    <row r="52" spans="1:11" ht="14.25" hidden="1" customHeight="1" x14ac:dyDescent="0.25">
      <c r="A52" s="4">
        <v>45242</v>
      </c>
      <c r="B52" s="2" t="s">
        <v>7</v>
      </c>
      <c r="C52" s="2" t="s">
        <v>13</v>
      </c>
      <c r="D52" s="2">
        <v>192</v>
      </c>
      <c r="E52" s="8">
        <v>73615</v>
      </c>
      <c r="F52" s="10">
        <f>E52*0.1</f>
        <v>7361.5</v>
      </c>
      <c r="G52">
        <v>10</v>
      </c>
      <c r="H52">
        <v>6</v>
      </c>
      <c r="I52">
        <v>2023</v>
      </c>
      <c r="J52" t="str">
        <f>IF(sales_2025!E52&gt;40000,"high","low")</f>
        <v>high</v>
      </c>
      <c r="K52" t="str">
        <f>IF(AND(sales_2025!B52="north",sales_2025!E52&gt;50000),"target is achive",)</f>
        <v>target is achive</v>
      </c>
    </row>
    <row r="53" spans="1:11" ht="14.25" hidden="1" customHeight="1" x14ac:dyDescent="0.25">
      <c r="A53" s="4">
        <v>45398</v>
      </c>
      <c r="B53" s="2" t="s">
        <v>7</v>
      </c>
      <c r="C53" s="2" t="s">
        <v>13</v>
      </c>
      <c r="D53" s="2">
        <v>137</v>
      </c>
      <c r="E53" s="8">
        <v>62389</v>
      </c>
      <c r="F53" s="10">
        <f>E53*0.1</f>
        <v>6238.9000000000005</v>
      </c>
      <c r="G53">
        <v>19</v>
      </c>
      <c r="H53">
        <v>8</v>
      </c>
      <c r="I53">
        <v>2023</v>
      </c>
      <c r="J53" t="str">
        <f>IF(sales_2025!E53&gt;40000,"high","low")</f>
        <v>high</v>
      </c>
      <c r="K53" t="str">
        <f>IF(AND(sales_2025!B53="north",sales_2025!E53&gt;50000),"target is achive",)</f>
        <v>target is achive</v>
      </c>
    </row>
    <row r="54" spans="1:11" ht="14.25" hidden="1" customHeight="1" x14ac:dyDescent="0.25">
      <c r="A54" s="4">
        <v>45411</v>
      </c>
      <c r="B54" s="2" t="s">
        <v>7</v>
      </c>
      <c r="C54" s="2" t="s">
        <v>13</v>
      </c>
      <c r="D54" s="2">
        <v>61</v>
      </c>
      <c r="E54" s="8">
        <v>57179</v>
      </c>
      <c r="F54" s="10">
        <f>E54*0.1</f>
        <v>5717.9000000000005</v>
      </c>
      <c r="G54">
        <v>9</v>
      </c>
      <c r="H54">
        <v>7</v>
      </c>
      <c r="I54">
        <v>2024</v>
      </c>
      <c r="J54" t="str">
        <f>IF(sales_2025!E54&gt;40000,"high","low")</f>
        <v>high</v>
      </c>
      <c r="K54" t="str">
        <f>IF(AND(sales_2025!B54="north",sales_2025!E54&gt;50000),"target is achive",)</f>
        <v>target is achive</v>
      </c>
    </row>
    <row r="55" spans="1:11" ht="14.25" hidden="1" customHeight="1" x14ac:dyDescent="0.25">
      <c r="A55" s="4">
        <v>45519</v>
      </c>
      <c r="B55" s="2" t="s">
        <v>7</v>
      </c>
      <c r="C55" s="2" t="s">
        <v>13</v>
      </c>
      <c r="D55" s="2">
        <v>170</v>
      </c>
      <c r="E55" s="8">
        <v>79832</v>
      </c>
      <c r="F55" s="10">
        <f>E55*0.1</f>
        <v>7983.2000000000007</v>
      </c>
      <c r="G55">
        <v>10</v>
      </c>
      <c r="H55">
        <v>2</v>
      </c>
      <c r="I55">
        <v>2023</v>
      </c>
      <c r="J55" t="str">
        <f>IF(sales_2025!E55&gt;40000,"high","low")</f>
        <v>high</v>
      </c>
      <c r="K55" t="str">
        <f>IF(AND(sales_2025!B55="north",sales_2025!E55&gt;50000),"target is achive",)</f>
        <v>target is achive</v>
      </c>
    </row>
    <row r="56" spans="1:11" ht="14.25" hidden="1" customHeight="1" x14ac:dyDescent="0.25">
      <c r="A56" s="4">
        <v>44989</v>
      </c>
      <c r="B56" s="2" t="s">
        <v>7</v>
      </c>
      <c r="C56" s="2" t="s">
        <v>10</v>
      </c>
      <c r="D56" s="2">
        <v>43</v>
      </c>
      <c r="E56" s="8">
        <v>10435</v>
      </c>
      <c r="F56" s="10">
        <f>E56*0.1</f>
        <v>1043.5</v>
      </c>
      <c r="G56">
        <v>11</v>
      </c>
      <c r="H56">
        <v>5</v>
      </c>
      <c r="I56">
        <v>2023</v>
      </c>
      <c r="J56" t="str">
        <f>IF(sales_2025!E56&gt;40000,"high","low")</f>
        <v>low</v>
      </c>
      <c r="K56">
        <f>IF(AND(sales_2025!B56="north",sales_2025!E56&gt;50000),"target is achive",)</f>
        <v>0</v>
      </c>
    </row>
    <row r="57" spans="1:11" ht="14.25" hidden="1" customHeight="1" x14ac:dyDescent="0.25">
      <c r="A57" s="4">
        <v>44991</v>
      </c>
      <c r="B57" s="2" t="s">
        <v>7</v>
      </c>
      <c r="C57" s="2" t="s">
        <v>10</v>
      </c>
      <c r="D57" s="2">
        <v>130</v>
      </c>
      <c r="E57" s="8">
        <v>14284</v>
      </c>
      <c r="F57" s="10">
        <f>E57*0.1</f>
        <v>1428.4</v>
      </c>
      <c r="G57">
        <v>4</v>
      </c>
      <c r="H57">
        <v>12</v>
      </c>
      <c r="I57">
        <v>2023</v>
      </c>
      <c r="J57" t="str">
        <f>IF(sales_2025!E57&gt;40000,"high","low")</f>
        <v>low</v>
      </c>
      <c r="K57">
        <f>IF(AND(sales_2025!B57="north",sales_2025!E57&gt;50000),"target is achive",)</f>
        <v>0</v>
      </c>
    </row>
    <row r="58" spans="1:11" ht="14.25" hidden="1" customHeight="1" x14ac:dyDescent="0.25">
      <c r="A58" s="4">
        <v>45018</v>
      </c>
      <c r="B58" s="2" t="s">
        <v>7</v>
      </c>
      <c r="C58" s="2" t="s">
        <v>10</v>
      </c>
      <c r="D58" s="2">
        <v>117</v>
      </c>
      <c r="E58" s="8">
        <v>87672</v>
      </c>
      <c r="F58" s="10">
        <f>E58*0.1</f>
        <v>8767.2000000000007</v>
      </c>
      <c r="G58">
        <v>3</v>
      </c>
      <c r="H58">
        <v>8</v>
      </c>
      <c r="I58">
        <v>2023</v>
      </c>
      <c r="J58" t="str">
        <f>IF(sales_2025!E58&gt;40000,"high","low")</f>
        <v>high</v>
      </c>
      <c r="K58" t="str">
        <f>IF(AND(sales_2025!B58="north",sales_2025!E58&gt;50000),"target is achive",)</f>
        <v>target is achive</v>
      </c>
    </row>
    <row r="59" spans="1:11" ht="14.25" hidden="1" customHeight="1" x14ac:dyDescent="0.25">
      <c r="A59" s="4">
        <v>45118</v>
      </c>
      <c r="B59" s="2" t="s">
        <v>7</v>
      </c>
      <c r="C59" s="2" t="s">
        <v>10</v>
      </c>
      <c r="D59" s="2">
        <v>115</v>
      </c>
      <c r="E59" s="8">
        <v>97825</v>
      </c>
      <c r="F59" s="10">
        <f>E59*0.1</f>
        <v>9782.5</v>
      </c>
      <c r="G59">
        <v>2</v>
      </c>
      <c r="H59">
        <v>1</v>
      </c>
      <c r="I59">
        <v>2024</v>
      </c>
      <c r="J59" t="str">
        <f>IF(sales_2025!E59&gt;40000,"high","low")</f>
        <v>high</v>
      </c>
      <c r="K59" t="str">
        <f>IF(AND(sales_2025!B59="north",sales_2025!E59&gt;50000),"target is achive",)</f>
        <v>target is achive</v>
      </c>
    </row>
    <row r="60" spans="1:11" ht="14.25" hidden="1" customHeight="1" x14ac:dyDescent="0.25">
      <c r="A60" s="4">
        <v>45215</v>
      </c>
      <c r="B60" s="2" t="s">
        <v>7</v>
      </c>
      <c r="C60" s="2" t="s">
        <v>10</v>
      </c>
      <c r="D60" s="2">
        <v>50</v>
      </c>
      <c r="E60" s="8">
        <v>79781</v>
      </c>
      <c r="F60" s="10">
        <f>E60*0.1</f>
        <v>7978.1</v>
      </c>
      <c r="G60">
        <v>8</v>
      </c>
      <c r="H60">
        <v>1</v>
      </c>
      <c r="I60">
        <v>2024</v>
      </c>
      <c r="J60" t="str">
        <f>IF(sales_2025!E60&gt;40000,"high","low")</f>
        <v>high</v>
      </c>
      <c r="K60" t="str">
        <f>IF(AND(sales_2025!B60="north",sales_2025!E60&gt;50000),"target is achive",)</f>
        <v>target is achive</v>
      </c>
    </row>
    <row r="61" spans="1:11" ht="14.25" customHeight="1" x14ac:dyDescent="0.25">
      <c r="A61" s="4">
        <v>45114</v>
      </c>
      <c r="B61" s="2" t="s">
        <v>11</v>
      </c>
      <c r="C61" s="2" t="s">
        <v>8</v>
      </c>
      <c r="D61" s="2">
        <v>175</v>
      </c>
      <c r="E61" s="8">
        <v>17964</v>
      </c>
      <c r="F61" s="10">
        <f>E61*0.1</f>
        <v>1796.4</v>
      </c>
      <c r="G61">
        <v>20</v>
      </c>
      <c r="H61">
        <v>4</v>
      </c>
      <c r="I61">
        <v>2024</v>
      </c>
      <c r="J61" t="str">
        <f>IF(sales_2025!E61&gt;40000,"high","low")</f>
        <v>low</v>
      </c>
      <c r="K61">
        <f>IF(AND(sales_2025!B61="north",sales_2025!E61&gt;50000),"target is achive",)</f>
        <v>0</v>
      </c>
    </row>
    <row r="62" spans="1:11" ht="14.25" hidden="1" customHeight="1" x14ac:dyDescent="0.25">
      <c r="A62" s="4">
        <v>44967</v>
      </c>
      <c r="B62" s="2" t="s">
        <v>11</v>
      </c>
      <c r="C62" s="2" t="s">
        <v>446</v>
      </c>
      <c r="D62" s="2">
        <v>194</v>
      </c>
      <c r="E62" s="8">
        <v>86067</v>
      </c>
      <c r="F62" s="10">
        <f>E62*0.1</f>
        <v>8606.7000000000007</v>
      </c>
      <c r="G62">
        <v>16</v>
      </c>
      <c r="H62">
        <v>7</v>
      </c>
      <c r="I62">
        <v>2024</v>
      </c>
      <c r="J62" t="str">
        <f>IF(sales_2025!E62&gt;40000,"high","low")</f>
        <v>high</v>
      </c>
      <c r="K62">
        <f>IF(AND(sales_2025!B62="north",sales_2025!E62&gt;50000),"target is achive",)</f>
        <v>0</v>
      </c>
    </row>
    <row r="63" spans="1:11" ht="14.25" hidden="1" customHeight="1" x14ac:dyDescent="0.25">
      <c r="A63" s="4">
        <v>45179</v>
      </c>
      <c r="B63" s="2" t="s">
        <v>11</v>
      </c>
      <c r="C63" s="2" t="s">
        <v>446</v>
      </c>
      <c r="D63" s="2">
        <v>51</v>
      </c>
      <c r="E63" s="8">
        <v>16338</v>
      </c>
      <c r="F63" s="10">
        <f>E63*0.1</f>
        <v>1633.8000000000002</v>
      </c>
      <c r="G63">
        <v>21</v>
      </c>
      <c r="H63">
        <v>1</v>
      </c>
      <c r="I63">
        <v>2023</v>
      </c>
      <c r="J63" t="str">
        <f>IF(sales_2025!E63&gt;40000,"high","low")</f>
        <v>low</v>
      </c>
      <c r="K63">
        <f>IF(AND(sales_2025!B63="north",sales_2025!E63&gt;50000),"target is achive",)</f>
        <v>0</v>
      </c>
    </row>
    <row r="64" spans="1:11" ht="14.25" hidden="1" customHeight="1" x14ac:dyDescent="0.25">
      <c r="A64" s="4">
        <v>45257</v>
      </c>
      <c r="B64" s="2" t="s">
        <v>11</v>
      </c>
      <c r="C64" s="2" t="s">
        <v>446</v>
      </c>
      <c r="D64" s="2">
        <v>48</v>
      </c>
      <c r="E64" s="8">
        <v>56766</v>
      </c>
      <c r="F64" s="10">
        <f>E64*0.1</f>
        <v>5676.6</v>
      </c>
      <c r="G64">
        <v>25</v>
      </c>
      <c r="H64">
        <v>7</v>
      </c>
      <c r="I64">
        <v>2023</v>
      </c>
      <c r="J64" t="str">
        <f>IF(sales_2025!E64&gt;40000,"high","low")</f>
        <v>high</v>
      </c>
      <c r="K64">
        <f>IF(AND(sales_2025!B64="north",sales_2025!E64&gt;50000),"target is achive",)</f>
        <v>0</v>
      </c>
    </row>
    <row r="65" spans="1:11" ht="14.25" hidden="1" customHeight="1" x14ac:dyDescent="0.25">
      <c r="A65" s="4">
        <v>45328</v>
      </c>
      <c r="B65" s="2" t="s">
        <v>11</v>
      </c>
      <c r="C65" s="2" t="s">
        <v>446</v>
      </c>
      <c r="D65" s="2">
        <v>161</v>
      </c>
      <c r="E65" s="8">
        <v>95841</v>
      </c>
      <c r="F65" s="10">
        <f>E65*0.1</f>
        <v>9584.1</v>
      </c>
      <c r="G65">
        <v>27</v>
      </c>
      <c r="H65">
        <v>9</v>
      </c>
      <c r="I65">
        <v>2023</v>
      </c>
      <c r="J65" t="str">
        <f>IF(sales_2025!E65&gt;40000,"high","low")</f>
        <v>high</v>
      </c>
      <c r="K65">
        <f>IF(AND(sales_2025!B65="north",sales_2025!E65&gt;50000),"target is achive",)</f>
        <v>0</v>
      </c>
    </row>
    <row r="66" spans="1:11" ht="14.25" hidden="1" customHeight="1" x14ac:dyDescent="0.25">
      <c r="A66" s="4">
        <v>45382</v>
      </c>
      <c r="B66" s="2" t="s">
        <v>11</v>
      </c>
      <c r="C66" s="2" t="s">
        <v>446</v>
      </c>
      <c r="D66" s="2">
        <v>58</v>
      </c>
      <c r="E66" s="8">
        <v>46543</v>
      </c>
      <c r="F66" s="10">
        <f>E66*0.1</f>
        <v>4654.3</v>
      </c>
      <c r="G66">
        <v>10</v>
      </c>
      <c r="H66">
        <v>11</v>
      </c>
      <c r="I66">
        <v>2023</v>
      </c>
      <c r="J66" t="str">
        <f>IF(sales_2025!E66&gt;40000,"high","low")</f>
        <v>high</v>
      </c>
      <c r="K66">
        <f>IF(AND(sales_2025!B66="north",sales_2025!E66&gt;50000),"target is achive",)</f>
        <v>0</v>
      </c>
    </row>
    <row r="67" spans="1:11" ht="14.25" hidden="1" customHeight="1" x14ac:dyDescent="0.25">
      <c r="A67" s="4">
        <v>45431</v>
      </c>
      <c r="B67" s="2" t="s">
        <v>11</v>
      </c>
      <c r="C67" s="2" t="s">
        <v>446</v>
      </c>
      <c r="D67" s="2">
        <v>192</v>
      </c>
      <c r="E67" s="8">
        <v>67412</v>
      </c>
      <c r="F67" s="10">
        <f>E67*0.1</f>
        <v>6741.2000000000007</v>
      </c>
      <c r="G67">
        <v>12</v>
      </c>
      <c r="H67">
        <v>11</v>
      </c>
      <c r="I67">
        <v>2023</v>
      </c>
      <c r="J67" t="str">
        <f>IF(sales_2025!E67&gt;40000,"high","low")</f>
        <v>high</v>
      </c>
      <c r="K67">
        <f>IF(AND(sales_2025!B67="north",sales_2025!E67&gt;50000),"target is achive",)</f>
        <v>0</v>
      </c>
    </row>
    <row r="68" spans="1:11" ht="14.25" hidden="1" customHeight="1" x14ac:dyDescent="0.25">
      <c r="A68" s="4">
        <v>44985</v>
      </c>
      <c r="B68" s="2" t="s">
        <v>11</v>
      </c>
      <c r="C68" s="2" t="s">
        <v>12</v>
      </c>
      <c r="D68" s="2">
        <v>27</v>
      </c>
      <c r="E68" s="8">
        <v>81135</v>
      </c>
      <c r="F68" s="10">
        <f>E68*0.1</f>
        <v>8113.5</v>
      </c>
      <c r="G68">
        <v>16</v>
      </c>
      <c r="H68">
        <v>4</v>
      </c>
      <c r="I68">
        <v>2024</v>
      </c>
      <c r="J68" t="str">
        <f>IF(sales_2025!E68&gt;40000,"high","low")</f>
        <v>high</v>
      </c>
      <c r="K68">
        <f>IF(AND(sales_2025!B68="north",sales_2025!E68&gt;50000),"target is achive",)</f>
        <v>0</v>
      </c>
    </row>
    <row r="69" spans="1:11" ht="14.25" hidden="1" customHeight="1" x14ac:dyDescent="0.25">
      <c r="A69" s="4">
        <v>44998</v>
      </c>
      <c r="B69" s="2" t="s">
        <v>11</v>
      </c>
      <c r="C69" s="2" t="s">
        <v>12</v>
      </c>
      <c r="D69" s="2">
        <v>161</v>
      </c>
      <c r="E69" s="8">
        <v>7655</v>
      </c>
      <c r="F69" s="10">
        <f>E69*0.1</f>
        <v>765.5</v>
      </c>
      <c r="G69">
        <v>29</v>
      </c>
      <c r="H69">
        <v>4</v>
      </c>
      <c r="I69">
        <v>2024</v>
      </c>
      <c r="J69" t="str">
        <f>IF(sales_2025!E69&gt;40000,"high","low")</f>
        <v>low</v>
      </c>
      <c r="K69">
        <f>IF(AND(sales_2025!B69="north",sales_2025!E69&gt;50000),"target is achive",)</f>
        <v>0</v>
      </c>
    </row>
    <row r="70" spans="1:11" ht="14.25" hidden="1" customHeight="1" x14ac:dyDescent="0.25">
      <c r="A70" s="4">
        <v>45087</v>
      </c>
      <c r="B70" s="2" t="s">
        <v>11</v>
      </c>
      <c r="C70" s="2" t="s">
        <v>12</v>
      </c>
      <c r="D70" s="2">
        <v>22</v>
      </c>
      <c r="E70" s="8">
        <v>32024</v>
      </c>
      <c r="F70" s="10">
        <f>E70*0.1</f>
        <v>3202.4</v>
      </c>
      <c r="G70">
        <v>15</v>
      </c>
      <c r="H70">
        <v>8</v>
      </c>
      <c r="I70">
        <v>2024</v>
      </c>
      <c r="J70" t="str">
        <f>IF(sales_2025!E70&gt;40000,"high","low")</f>
        <v>low</v>
      </c>
      <c r="K70">
        <f>IF(AND(sales_2025!B70="north",sales_2025!E70&gt;50000),"target is achive",)</f>
        <v>0</v>
      </c>
    </row>
    <row r="71" spans="1:11" ht="14.25" hidden="1" customHeight="1" x14ac:dyDescent="0.25">
      <c r="A71" s="4">
        <v>45157</v>
      </c>
      <c r="B71" s="2" t="s">
        <v>11</v>
      </c>
      <c r="C71" s="2" t="s">
        <v>12</v>
      </c>
      <c r="D71" s="2">
        <v>13</v>
      </c>
      <c r="E71" s="8">
        <v>96435</v>
      </c>
      <c r="F71" s="10">
        <f>E71*0.1</f>
        <v>9643.5</v>
      </c>
      <c r="G71">
        <v>16</v>
      </c>
      <c r="H71">
        <v>4</v>
      </c>
      <c r="I71">
        <v>2023</v>
      </c>
      <c r="J71" t="str">
        <f>IF(sales_2025!E71&gt;40000,"high","low")</f>
        <v>high</v>
      </c>
      <c r="K71">
        <f>IF(AND(sales_2025!B71="north",sales_2025!E71&gt;50000),"target is achive",)</f>
        <v>0</v>
      </c>
    </row>
    <row r="72" spans="1:11" ht="14.25" hidden="1" customHeight="1" x14ac:dyDescent="0.25">
      <c r="A72" s="4">
        <v>45482</v>
      </c>
      <c r="B72" s="2" t="s">
        <v>11</v>
      </c>
      <c r="C72" s="2" t="s">
        <v>12</v>
      </c>
      <c r="D72" s="2">
        <v>67</v>
      </c>
      <c r="E72" s="8">
        <v>17896</v>
      </c>
      <c r="F72" s="10">
        <f>E72*0.1</f>
        <v>1789.6000000000001</v>
      </c>
      <c r="G72">
        <v>5</v>
      </c>
      <c r="H72">
        <v>8</v>
      </c>
      <c r="I72">
        <v>2023</v>
      </c>
      <c r="J72" t="str">
        <f>IF(sales_2025!E72&gt;40000,"high","low")</f>
        <v>low</v>
      </c>
      <c r="K72">
        <f>IF(AND(sales_2025!B72="north",sales_2025!E72&gt;50000),"target is achive",)</f>
        <v>0</v>
      </c>
    </row>
    <row r="73" spans="1:11" ht="14.25" hidden="1" customHeight="1" x14ac:dyDescent="0.25">
      <c r="A73" s="4">
        <v>45032</v>
      </c>
      <c r="B73" s="2" t="s">
        <v>11</v>
      </c>
      <c r="C73" s="2" t="s">
        <v>13</v>
      </c>
      <c r="D73" s="2">
        <v>191</v>
      </c>
      <c r="E73" s="8">
        <v>75740</v>
      </c>
      <c r="F73" s="10">
        <f>E73*0.1</f>
        <v>7574</v>
      </c>
      <c r="G73">
        <v>6</v>
      </c>
      <c r="H73">
        <v>12</v>
      </c>
      <c r="I73">
        <v>2023</v>
      </c>
      <c r="J73" t="str">
        <f>IF(sales_2025!E73&gt;40000,"high","low")</f>
        <v>high</v>
      </c>
      <c r="K73">
        <f>IF(AND(sales_2025!B73="north",sales_2025!E73&gt;50000),"target is achive",)</f>
        <v>0</v>
      </c>
    </row>
    <row r="74" spans="1:11" ht="14.25" hidden="1" customHeight="1" x14ac:dyDescent="0.25">
      <c r="A74" s="4">
        <v>45143</v>
      </c>
      <c r="B74" s="2" t="s">
        <v>11</v>
      </c>
      <c r="C74" s="2" t="s">
        <v>13</v>
      </c>
      <c r="D74" s="2">
        <v>32</v>
      </c>
      <c r="E74" s="8">
        <v>10662</v>
      </c>
      <c r="F74" s="10">
        <f>E74*0.1</f>
        <v>1066.2</v>
      </c>
      <c r="G74">
        <v>10</v>
      </c>
      <c r="H74">
        <v>12</v>
      </c>
      <c r="I74">
        <v>2023</v>
      </c>
      <c r="J74" t="str">
        <f>IF(sales_2025!E74&gt;40000,"high","low")</f>
        <v>low</v>
      </c>
      <c r="K74">
        <f>IF(AND(sales_2025!B74="north",sales_2025!E74&gt;50000),"target is achive",)</f>
        <v>0</v>
      </c>
    </row>
    <row r="75" spans="1:11" ht="14.25" hidden="1" customHeight="1" x14ac:dyDescent="0.25">
      <c r="A75" s="4">
        <v>45266</v>
      </c>
      <c r="B75" s="2" t="s">
        <v>11</v>
      </c>
      <c r="C75" s="2" t="s">
        <v>13</v>
      </c>
      <c r="D75" s="2">
        <v>46</v>
      </c>
      <c r="E75" s="8">
        <v>92794</v>
      </c>
      <c r="F75" s="10">
        <f>E75*0.1</f>
        <v>9279.4</v>
      </c>
      <c r="G75">
        <v>13</v>
      </c>
      <c r="H75">
        <v>5</v>
      </c>
      <c r="I75">
        <v>2024</v>
      </c>
      <c r="J75" t="str">
        <f>IF(sales_2025!E75&gt;40000,"high","low")</f>
        <v>high</v>
      </c>
      <c r="K75">
        <f>IF(AND(sales_2025!B75="north",sales_2025!E75&gt;50000),"target is achive",)</f>
        <v>0</v>
      </c>
    </row>
    <row r="76" spans="1:11" ht="14.25" hidden="1" customHeight="1" x14ac:dyDescent="0.25">
      <c r="A76" s="4">
        <v>45270</v>
      </c>
      <c r="B76" s="2" t="s">
        <v>11</v>
      </c>
      <c r="C76" s="2" t="s">
        <v>13</v>
      </c>
      <c r="D76" s="2">
        <v>104</v>
      </c>
      <c r="E76" s="8">
        <v>85664</v>
      </c>
      <c r="F76" s="10">
        <f>E76*0.1</f>
        <v>8566.4</v>
      </c>
      <c r="G76">
        <v>22</v>
      </c>
      <c r="H76">
        <v>3</v>
      </c>
      <c r="I76">
        <v>2023</v>
      </c>
      <c r="J76" t="str">
        <f>IF(sales_2025!E76&gt;40000,"high","low")</f>
        <v>high</v>
      </c>
      <c r="K76">
        <f>IF(AND(sales_2025!B76="north",sales_2025!E76&gt;50000),"target is achive",)</f>
        <v>0</v>
      </c>
    </row>
    <row r="77" spans="1:11" ht="14.25" hidden="1" customHeight="1" x14ac:dyDescent="0.25">
      <c r="A77" s="4">
        <v>45425</v>
      </c>
      <c r="B77" s="2" t="s">
        <v>11</v>
      </c>
      <c r="C77" s="2" t="s">
        <v>13</v>
      </c>
      <c r="D77" s="2">
        <v>39</v>
      </c>
      <c r="E77" s="8">
        <v>45078</v>
      </c>
      <c r="F77" s="10">
        <f>E77*0.1</f>
        <v>4507.8</v>
      </c>
      <c r="G77">
        <v>10</v>
      </c>
      <c r="H77">
        <v>4</v>
      </c>
      <c r="I77">
        <v>2023</v>
      </c>
      <c r="J77" t="str">
        <f>IF(sales_2025!E77&gt;40000,"high","low")</f>
        <v>high</v>
      </c>
      <c r="K77">
        <f>IF(AND(sales_2025!B77="north",sales_2025!E77&gt;50000),"target is achive",)</f>
        <v>0</v>
      </c>
    </row>
    <row r="78" spans="1:11" ht="14.25" hidden="1" customHeight="1" x14ac:dyDescent="0.25">
      <c r="A78" s="4">
        <v>45128</v>
      </c>
      <c r="B78" s="2" t="s">
        <v>11</v>
      </c>
      <c r="C78" s="2" t="s">
        <v>10</v>
      </c>
      <c r="D78" s="2">
        <v>18</v>
      </c>
      <c r="E78" s="8">
        <v>8805</v>
      </c>
      <c r="F78" s="10">
        <f>E78*0.1</f>
        <v>880.5</v>
      </c>
      <c r="G78">
        <v>9</v>
      </c>
      <c r="H78">
        <v>9</v>
      </c>
      <c r="I78">
        <v>2023</v>
      </c>
      <c r="J78" t="str">
        <f>IF(sales_2025!E78&gt;40000,"high","low")</f>
        <v>low</v>
      </c>
      <c r="K78">
        <f>IF(AND(sales_2025!B78="north",sales_2025!E78&gt;50000),"target is achive",)</f>
        <v>0</v>
      </c>
    </row>
    <row r="79" spans="1:11" ht="14.25" hidden="1" customHeight="1" x14ac:dyDescent="0.25">
      <c r="A79" s="4">
        <v>45170</v>
      </c>
      <c r="B79" s="2" t="s">
        <v>11</v>
      </c>
      <c r="C79" s="2" t="s">
        <v>10</v>
      </c>
      <c r="D79" s="2">
        <v>111</v>
      </c>
      <c r="E79" s="8">
        <v>55021</v>
      </c>
      <c r="F79" s="10">
        <f>E79*0.1</f>
        <v>5502.1</v>
      </c>
      <c r="G79">
        <v>6</v>
      </c>
      <c r="H79">
        <v>4</v>
      </c>
      <c r="I79">
        <v>2024</v>
      </c>
      <c r="J79" t="str">
        <f>IF(sales_2025!E79&gt;40000,"high","low")</f>
        <v>high</v>
      </c>
      <c r="K79">
        <f>IF(AND(sales_2025!B79="north",sales_2025!E79&gt;50000),"target is achive",)</f>
        <v>0</v>
      </c>
    </row>
    <row r="80" spans="1:11" ht="14.25" hidden="1" customHeight="1" x14ac:dyDescent="0.25">
      <c r="A80" s="4">
        <v>45235</v>
      </c>
      <c r="B80" s="2" t="s">
        <v>11</v>
      </c>
      <c r="C80" s="2" t="s">
        <v>10</v>
      </c>
      <c r="D80" s="2">
        <v>145</v>
      </c>
      <c r="E80" s="8">
        <v>53921</v>
      </c>
      <c r="F80" s="10">
        <f>E80*0.1</f>
        <v>5392.1</v>
      </c>
      <c r="G80">
        <v>18</v>
      </c>
      <c r="H80">
        <v>7</v>
      </c>
      <c r="I80">
        <v>2024</v>
      </c>
      <c r="J80" t="str">
        <f>IF(sales_2025!E80&gt;40000,"high","low")</f>
        <v>high</v>
      </c>
      <c r="K80">
        <f>IF(AND(sales_2025!B80="north",sales_2025!E80&gt;50000),"target is achive",)</f>
        <v>0</v>
      </c>
    </row>
    <row r="81" spans="1:11" ht="14.25" customHeight="1" x14ac:dyDescent="0.25">
      <c r="A81" s="4">
        <v>45057</v>
      </c>
      <c r="B81" s="2" t="s">
        <v>9</v>
      </c>
      <c r="C81" s="2" t="s">
        <v>8</v>
      </c>
      <c r="D81" s="2">
        <v>197</v>
      </c>
      <c r="E81" s="8">
        <v>59335</v>
      </c>
      <c r="F81" s="10">
        <f>E81*0.1</f>
        <v>5933.5</v>
      </c>
      <c r="G81">
        <v>4</v>
      </c>
      <c r="H81">
        <v>2</v>
      </c>
      <c r="I81">
        <v>2023</v>
      </c>
      <c r="J81" t="str">
        <f>IF(sales_2025!E81&gt;40000,"high","low")</f>
        <v>high</v>
      </c>
      <c r="K81">
        <f>IF(AND(sales_2025!B81="north",sales_2025!E81&gt;50000),"target is achive",)</f>
        <v>0</v>
      </c>
    </row>
    <row r="82" spans="1:11" ht="14.25" hidden="1" customHeight="1" x14ac:dyDescent="0.25">
      <c r="A82" s="4">
        <v>44979</v>
      </c>
      <c r="B82" s="2" t="s">
        <v>9</v>
      </c>
      <c r="C82" s="2" t="s">
        <v>446</v>
      </c>
      <c r="D82" s="2">
        <v>114</v>
      </c>
      <c r="E82" s="8">
        <v>30375</v>
      </c>
      <c r="F82" s="10">
        <f>E82*0.1</f>
        <v>3037.5</v>
      </c>
      <c r="G82">
        <v>16</v>
      </c>
      <c r="H82">
        <v>6</v>
      </c>
      <c r="I82">
        <v>2023</v>
      </c>
      <c r="J82" t="str">
        <f>IF(sales_2025!E82&gt;40000,"high","low")</f>
        <v>low</v>
      </c>
      <c r="K82">
        <f>IF(AND(sales_2025!B82="north",sales_2025!E82&gt;50000),"target is achive",)</f>
        <v>0</v>
      </c>
    </row>
    <row r="83" spans="1:11" ht="14.25" hidden="1" customHeight="1" x14ac:dyDescent="0.25">
      <c r="A83" s="4">
        <v>45197</v>
      </c>
      <c r="B83" s="2" t="s">
        <v>9</v>
      </c>
      <c r="C83" s="2" t="s">
        <v>446</v>
      </c>
      <c r="D83" s="2">
        <v>189</v>
      </c>
      <c r="E83" s="8">
        <v>3368</v>
      </c>
      <c r="F83" s="10">
        <f>E83*0.1</f>
        <v>336.8</v>
      </c>
      <c r="G83">
        <v>30</v>
      </c>
      <c r="H83">
        <v>3</v>
      </c>
      <c r="I83">
        <v>2024</v>
      </c>
      <c r="J83" t="str">
        <f>IF(sales_2025!E83&gt;40000,"high","low")</f>
        <v>low</v>
      </c>
      <c r="K83">
        <f>IF(AND(sales_2025!B83="north",sales_2025!E83&gt;50000),"target is achive",)</f>
        <v>0</v>
      </c>
    </row>
    <row r="84" spans="1:11" ht="14.25" hidden="1" customHeight="1" x14ac:dyDescent="0.25">
      <c r="A84" s="4">
        <v>45200</v>
      </c>
      <c r="B84" s="2" t="s">
        <v>9</v>
      </c>
      <c r="C84" s="2" t="s">
        <v>446</v>
      </c>
      <c r="D84" s="2">
        <v>4</v>
      </c>
      <c r="E84" s="8">
        <v>81738</v>
      </c>
      <c r="F84" s="10">
        <f>E84*0.1</f>
        <v>8173.8</v>
      </c>
      <c r="G84">
        <v>19</v>
      </c>
      <c r="H84">
        <v>4</v>
      </c>
      <c r="I84">
        <v>2024</v>
      </c>
      <c r="J84" t="str">
        <f>IF(sales_2025!E84&gt;40000,"high","low")</f>
        <v>high</v>
      </c>
      <c r="K84">
        <f>IF(AND(sales_2025!B84="north",sales_2025!E84&gt;50000),"target is achive",)</f>
        <v>0</v>
      </c>
    </row>
    <row r="85" spans="1:11" ht="14.25" hidden="1" customHeight="1" x14ac:dyDescent="0.25">
      <c r="A85" s="4">
        <v>45222</v>
      </c>
      <c r="B85" s="2" t="s">
        <v>9</v>
      </c>
      <c r="C85" s="2" t="s">
        <v>446</v>
      </c>
      <c r="D85" s="2">
        <v>174</v>
      </c>
      <c r="E85" s="8">
        <v>14500</v>
      </c>
      <c r="F85" s="10">
        <f>E85*0.1</f>
        <v>1450</v>
      </c>
      <c r="G85">
        <v>23</v>
      </c>
      <c r="H85">
        <v>5</v>
      </c>
      <c r="I85">
        <v>2024</v>
      </c>
      <c r="J85" t="str">
        <f>IF(sales_2025!E85&gt;40000,"high","low")</f>
        <v>low</v>
      </c>
      <c r="K85">
        <f>IF(AND(sales_2025!B85="north",sales_2025!E85&gt;50000),"target is achive",)</f>
        <v>0</v>
      </c>
    </row>
    <row r="86" spans="1:11" ht="14.25" hidden="1" customHeight="1" x14ac:dyDescent="0.25">
      <c r="A86" s="4">
        <v>45314</v>
      </c>
      <c r="B86" s="2" t="s">
        <v>9</v>
      </c>
      <c r="C86" s="2" t="s">
        <v>446</v>
      </c>
      <c r="D86" s="2">
        <v>95</v>
      </c>
      <c r="E86" s="8">
        <v>6949</v>
      </c>
      <c r="F86" s="10">
        <f>E86*0.1</f>
        <v>694.90000000000009</v>
      </c>
      <c r="G86">
        <v>4</v>
      </c>
      <c r="H86">
        <v>6</v>
      </c>
      <c r="I86">
        <v>2024</v>
      </c>
      <c r="J86" t="str">
        <f>IF(sales_2025!E86&gt;40000,"high","low")</f>
        <v>low</v>
      </c>
      <c r="K86">
        <f>IF(AND(sales_2025!B86="north",sales_2025!E86&gt;50000),"target is achive",)</f>
        <v>0</v>
      </c>
    </row>
    <row r="87" spans="1:11" ht="14.25" hidden="1" customHeight="1" x14ac:dyDescent="0.25">
      <c r="A87" s="4">
        <v>45385</v>
      </c>
      <c r="B87" s="2" t="s">
        <v>9</v>
      </c>
      <c r="C87" s="2" t="s">
        <v>446</v>
      </c>
      <c r="D87" s="2">
        <v>148</v>
      </c>
      <c r="E87" s="8">
        <v>14403</v>
      </c>
      <c r="F87" s="10">
        <f>E87*0.1</f>
        <v>1440.3000000000002</v>
      </c>
      <c r="G87">
        <v>19</v>
      </c>
      <c r="H87">
        <v>7</v>
      </c>
      <c r="I87">
        <v>2024</v>
      </c>
      <c r="J87" t="str">
        <f>IF(sales_2025!E87&gt;40000,"high","low")</f>
        <v>low</v>
      </c>
      <c r="K87">
        <f>IF(AND(sales_2025!B87="north",sales_2025!E87&gt;50000),"target is achive",)</f>
        <v>0</v>
      </c>
    </row>
    <row r="88" spans="1:11" ht="14.25" hidden="1" customHeight="1" x14ac:dyDescent="0.25">
      <c r="A88" s="4">
        <v>45403</v>
      </c>
      <c r="B88" s="2" t="s">
        <v>9</v>
      </c>
      <c r="C88" s="2" t="s">
        <v>446</v>
      </c>
      <c r="D88" s="2">
        <v>160</v>
      </c>
      <c r="E88" s="8">
        <v>67617</v>
      </c>
      <c r="F88" s="10">
        <f>E88*0.1</f>
        <v>6761.7000000000007</v>
      </c>
      <c r="G88">
        <v>20</v>
      </c>
      <c r="H88">
        <v>7</v>
      </c>
      <c r="I88">
        <v>2024</v>
      </c>
      <c r="J88" t="str">
        <f>IF(sales_2025!E88&gt;40000,"high","low")</f>
        <v>high</v>
      </c>
      <c r="K88">
        <f>IF(AND(sales_2025!B88="north",sales_2025!E88&gt;50000),"target is achive",)</f>
        <v>0</v>
      </c>
    </row>
    <row r="89" spans="1:11" ht="14.25" hidden="1" customHeight="1" x14ac:dyDescent="0.25">
      <c r="A89" s="4">
        <v>44967</v>
      </c>
      <c r="B89" s="2" t="s">
        <v>9</v>
      </c>
      <c r="C89" s="2" t="s">
        <v>12</v>
      </c>
      <c r="D89" s="2">
        <v>60</v>
      </c>
      <c r="E89" s="8">
        <v>44919</v>
      </c>
      <c r="F89" s="10">
        <f>E89*0.1</f>
        <v>4491.9000000000005</v>
      </c>
      <c r="G89">
        <v>4</v>
      </c>
      <c r="H89">
        <v>3</v>
      </c>
      <c r="I89">
        <v>2023</v>
      </c>
      <c r="J89" t="str">
        <f>IF(sales_2025!E89&gt;40000,"high","low")</f>
        <v>high</v>
      </c>
      <c r="K89">
        <f>IF(AND(sales_2025!B89="north",sales_2025!E89&gt;50000),"target is achive",)</f>
        <v>0</v>
      </c>
    </row>
    <row r="90" spans="1:11" ht="14.25" hidden="1" customHeight="1" x14ac:dyDescent="0.25">
      <c r="A90" s="4">
        <v>45057</v>
      </c>
      <c r="B90" s="2" t="s">
        <v>9</v>
      </c>
      <c r="C90" s="2" t="s">
        <v>12</v>
      </c>
      <c r="D90" s="2">
        <v>195</v>
      </c>
      <c r="E90" s="8">
        <v>94848</v>
      </c>
      <c r="F90" s="10">
        <f>E90*0.1</f>
        <v>9484.8000000000011</v>
      </c>
      <c r="G90">
        <v>6</v>
      </c>
      <c r="H90">
        <v>3</v>
      </c>
      <c r="I90">
        <v>2023</v>
      </c>
      <c r="J90" t="str">
        <f>IF(sales_2025!E90&gt;40000,"high","low")</f>
        <v>high</v>
      </c>
      <c r="K90">
        <f>IF(AND(sales_2025!B90="north",sales_2025!E90&gt;50000),"target is achive",)</f>
        <v>0</v>
      </c>
    </row>
    <row r="91" spans="1:11" ht="14.25" hidden="1" customHeight="1" x14ac:dyDescent="0.25">
      <c r="A91" s="4">
        <v>45264</v>
      </c>
      <c r="B91" s="2" t="s">
        <v>9</v>
      </c>
      <c r="C91" s="2" t="s">
        <v>12</v>
      </c>
      <c r="D91" s="2">
        <v>24</v>
      </c>
      <c r="E91" s="8">
        <v>54222</v>
      </c>
      <c r="F91" s="10">
        <f>E91*0.1</f>
        <v>5422.2000000000007</v>
      </c>
      <c r="G91">
        <v>2</v>
      </c>
      <c r="H91">
        <v>4</v>
      </c>
      <c r="I91">
        <v>2023</v>
      </c>
      <c r="J91" t="str">
        <f>IF(sales_2025!E91&gt;40000,"high","low")</f>
        <v>high</v>
      </c>
      <c r="K91">
        <f>IF(AND(sales_2025!B91="north",sales_2025!E91&gt;50000),"target is achive",)</f>
        <v>0</v>
      </c>
    </row>
    <row r="92" spans="1:11" ht="14.25" hidden="1" customHeight="1" x14ac:dyDescent="0.25">
      <c r="A92" s="4">
        <v>45007</v>
      </c>
      <c r="B92" s="2" t="s">
        <v>9</v>
      </c>
      <c r="C92" s="2" t="s">
        <v>13</v>
      </c>
      <c r="D92" s="2">
        <v>46</v>
      </c>
      <c r="E92" s="8">
        <v>33217</v>
      </c>
      <c r="F92" s="10">
        <f>E92*0.1</f>
        <v>3321.7000000000003</v>
      </c>
      <c r="G92">
        <v>11</v>
      </c>
      <c r="H92">
        <v>7</v>
      </c>
      <c r="I92">
        <v>2023</v>
      </c>
      <c r="J92" t="str">
        <f>IF(sales_2025!E92&gt;40000,"high","low")</f>
        <v>low</v>
      </c>
      <c r="K92">
        <f>IF(AND(sales_2025!B92="north",sales_2025!E92&gt;50000),"target is achive",)</f>
        <v>0</v>
      </c>
    </row>
    <row r="93" spans="1:11" ht="14.25" hidden="1" customHeight="1" x14ac:dyDescent="0.25">
      <c r="A93" s="4">
        <v>45026</v>
      </c>
      <c r="B93" s="2" t="s">
        <v>9</v>
      </c>
      <c r="C93" s="2" t="s">
        <v>13</v>
      </c>
      <c r="D93" s="2">
        <v>135</v>
      </c>
      <c r="E93" s="8">
        <v>11966</v>
      </c>
      <c r="F93" s="10">
        <f>E93*0.1</f>
        <v>1196.6000000000001</v>
      </c>
      <c r="G93">
        <v>16</v>
      </c>
      <c r="H93">
        <v>10</v>
      </c>
      <c r="I93">
        <v>2023</v>
      </c>
      <c r="J93" t="str">
        <f>IF(sales_2025!E93&gt;40000,"high","low")</f>
        <v>low</v>
      </c>
      <c r="K93">
        <f>IF(AND(sales_2025!B93="north",sales_2025!E93&gt;50000),"target is achive",)</f>
        <v>0</v>
      </c>
    </row>
    <row r="94" spans="1:11" ht="14.25" hidden="1" customHeight="1" x14ac:dyDescent="0.25">
      <c r="A94" s="4">
        <v>45178</v>
      </c>
      <c r="B94" s="2" t="s">
        <v>9</v>
      </c>
      <c r="C94" s="2" t="s">
        <v>13</v>
      </c>
      <c r="D94" s="2">
        <v>104</v>
      </c>
      <c r="E94" s="8">
        <v>4343</v>
      </c>
      <c r="F94" s="10">
        <f>E94*0.1</f>
        <v>434.3</v>
      </c>
      <c r="G94">
        <v>21</v>
      </c>
      <c r="H94">
        <v>7</v>
      </c>
      <c r="I94">
        <v>2023</v>
      </c>
      <c r="J94" t="str">
        <f>IF(sales_2025!E94&gt;40000,"high","low")</f>
        <v>low</v>
      </c>
      <c r="K94">
        <f>IF(AND(sales_2025!B94="north",sales_2025!E94&gt;50000),"target is achive",)</f>
        <v>0</v>
      </c>
    </row>
    <row r="95" spans="1:11" ht="14.25" hidden="1" customHeight="1" x14ac:dyDescent="0.25">
      <c r="A95" s="4">
        <v>45388</v>
      </c>
      <c r="B95" s="2" t="s">
        <v>9</v>
      </c>
      <c r="C95" s="2" t="s">
        <v>13</v>
      </c>
      <c r="D95" s="2">
        <v>67</v>
      </c>
      <c r="E95" s="8">
        <v>57556</v>
      </c>
      <c r="F95" s="10">
        <f>E95*0.1</f>
        <v>5755.6</v>
      </c>
      <c r="G95">
        <v>1</v>
      </c>
      <c r="H95">
        <v>9</v>
      </c>
      <c r="I95">
        <v>2023</v>
      </c>
      <c r="J95" t="str">
        <f>IF(sales_2025!E95&gt;40000,"high","low")</f>
        <v>high</v>
      </c>
      <c r="K95">
        <f>IF(AND(sales_2025!B95="north",sales_2025!E95&gt;50000),"target is achive",)</f>
        <v>0</v>
      </c>
    </row>
    <row r="96" spans="1:11" ht="14.25" hidden="1" customHeight="1" x14ac:dyDescent="0.25">
      <c r="A96" s="4">
        <v>45491</v>
      </c>
      <c r="B96" s="2" t="s">
        <v>9</v>
      </c>
      <c r="C96" s="2" t="s">
        <v>13</v>
      </c>
      <c r="D96" s="2">
        <v>158</v>
      </c>
      <c r="E96" s="8">
        <v>84613</v>
      </c>
      <c r="F96" s="10">
        <f>E96*0.1</f>
        <v>8461.3000000000011</v>
      </c>
      <c r="G96">
        <v>5</v>
      </c>
      <c r="H96">
        <v>11</v>
      </c>
      <c r="I96">
        <v>2023</v>
      </c>
      <c r="J96" t="str">
        <f>IF(sales_2025!E96&gt;40000,"high","low")</f>
        <v>high</v>
      </c>
      <c r="K96">
        <f>IF(AND(sales_2025!B96="north",sales_2025!E96&gt;50000),"target is achive",)</f>
        <v>0</v>
      </c>
    </row>
    <row r="97" spans="1:11" ht="14.25" hidden="1" customHeight="1" x14ac:dyDescent="0.25">
      <c r="A97" s="4">
        <v>44940</v>
      </c>
      <c r="B97" s="2" t="s">
        <v>9</v>
      </c>
      <c r="C97" s="2" t="s">
        <v>10</v>
      </c>
      <c r="D97" s="2">
        <v>49</v>
      </c>
      <c r="E97" s="8">
        <v>74523</v>
      </c>
      <c r="F97" s="10">
        <f>E97*0.1</f>
        <v>7452.3</v>
      </c>
      <c r="G97">
        <v>14</v>
      </c>
      <c r="H97">
        <v>1</v>
      </c>
      <c r="I97">
        <v>2023</v>
      </c>
      <c r="J97" t="str">
        <f>IF(sales_2025!E97&gt;40000,"high","low")</f>
        <v>high</v>
      </c>
      <c r="K97">
        <f>IF(AND(sales_2025!B97="north",sales_2025!E97&gt;50000),"target is achive",)</f>
        <v>0</v>
      </c>
    </row>
    <row r="98" spans="1:11" ht="14.25" hidden="1" customHeight="1" x14ac:dyDescent="0.25">
      <c r="A98" s="4">
        <v>44941</v>
      </c>
      <c r="B98" s="2" t="s">
        <v>9</v>
      </c>
      <c r="C98" s="2" t="s">
        <v>10</v>
      </c>
      <c r="D98" s="2">
        <v>155</v>
      </c>
      <c r="E98" s="8">
        <v>70042</v>
      </c>
      <c r="F98" s="10">
        <f>E98*0.1</f>
        <v>7004.2000000000007</v>
      </c>
      <c r="G98">
        <v>15</v>
      </c>
      <c r="H98">
        <v>1</v>
      </c>
      <c r="I98">
        <v>2023</v>
      </c>
      <c r="J98" t="str">
        <f>IF(sales_2025!E98&gt;40000,"high","low")</f>
        <v>high</v>
      </c>
      <c r="K98">
        <f>IF(AND(sales_2025!B98="north",sales_2025!E98&gt;50000),"target is achive",)</f>
        <v>0</v>
      </c>
    </row>
    <row r="99" spans="1:11" ht="14.25" hidden="1" customHeight="1" x14ac:dyDescent="0.25">
      <c r="A99" s="4">
        <v>45033</v>
      </c>
      <c r="B99" s="2" t="s">
        <v>9</v>
      </c>
      <c r="C99" s="2" t="s">
        <v>10</v>
      </c>
      <c r="D99" s="2">
        <v>169</v>
      </c>
      <c r="E99" s="8">
        <v>78575</v>
      </c>
      <c r="F99" s="10">
        <f>E99*0.1</f>
        <v>7857.5</v>
      </c>
      <c r="G99">
        <v>17</v>
      </c>
      <c r="H99">
        <v>4</v>
      </c>
      <c r="I99">
        <v>2023</v>
      </c>
      <c r="J99" t="str">
        <f>IF(sales_2025!E99&gt;40000,"high","low")</f>
        <v>high</v>
      </c>
      <c r="K99">
        <f>IF(AND(sales_2025!B99="north",sales_2025!E99&gt;50000),"target is achive",)</f>
        <v>0</v>
      </c>
    </row>
    <row r="100" spans="1:11" ht="14.25" hidden="1" customHeight="1" x14ac:dyDescent="0.25">
      <c r="A100" s="4">
        <v>45048</v>
      </c>
      <c r="B100" s="2" t="s">
        <v>9</v>
      </c>
      <c r="C100" s="2" t="s">
        <v>10</v>
      </c>
      <c r="D100" s="2">
        <v>33</v>
      </c>
      <c r="E100" s="8">
        <v>77429</v>
      </c>
      <c r="F100" s="10">
        <f>E100*0.1</f>
        <v>7742.9000000000005</v>
      </c>
      <c r="G100">
        <v>2</v>
      </c>
      <c r="H100">
        <v>5</v>
      </c>
      <c r="I100">
        <v>2023</v>
      </c>
      <c r="J100" t="str">
        <f>IF(sales_2025!E100&gt;40000,"high","low")</f>
        <v>high</v>
      </c>
      <c r="K100">
        <f>IF(AND(sales_2025!B100="north",sales_2025!E100&gt;50000),"target is achive",)</f>
        <v>0</v>
      </c>
    </row>
    <row r="101" spans="1:11" ht="14.25" hidden="1" customHeight="1" x14ac:dyDescent="0.25">
      <c r="A101" s="4">
        <v>45272</v>
      </c>
      <c r="B101" s="2" t="s">
        <v>9</v>
      </c>
      <c r="C101" s="2" t="s">
        <v>10</v>
      </c>
      <c r="D101" s="2">
        <v>172</v>
      </c>
      <c r="E101" s="8">
        <v>18019</v>
      </c>
      <c r="F101" s="10">
        <f>E101*0.1</f>
        <v>1801.9</v>
      </c>
      <c r="G101">
        <v>12</v>
      </c>
      <c r="H101">
        <v>12</v>
      </c>
      <c r="I101">
        <v>2023</v>
      </c>
      <c r="J101" t="str">
        <f>IF(sales_2025!E101&gt;40000,"high","low")</f>
        <v>low</v>
      </c>
      <c r="K101">
        <f>IF(AND(sales_2025!B101="north",sales_2025!E101&gt;50000),"target is achive",)</f>
        <v>0</v>
      </c>
    </row>
    <row r="102" spans="1:11" ht="14.25" hidden="1" customHeight="1" x14ac:dyDescent="0.25">
      <c r="A102" s="4">
        <v>45318</v>
      </c>
      <c r="B102" s="2" t="s">
        <v>9</v>
      </c>
      <c r="C102" s="2" t="s">
        <v>10</v>
      </c>
      <c r="D102" s="2">
        <v>26</v>
      </c>
      <c r="E102" s="8">
        <v>52293</v>
      </c>
      <c r="F102" s="10">
        <f>E102*0.1</f>
        <v>5229.3</v>
      </c>
      <c r="G102">
        <v>27</v>
      </c>
      <c r="H102">
        <v>1</v>
      </c>
      <c r="I102">
        <v>2024</v>
      </c>
      <c r="J102" t="str">
        <f>IF(sales_2025!E102&gt;40000,"high","low")</f>
        <v>high</v>
      </c>
      <c r="K102">
        <f>IF(AND(sales_2025!B102="north",sales_2025!E102&gt;50000),"target is achive",)</f>
        <v>0</v>
      </c>
    </row>
    <row r="103" spans="1:11" ht="14.25" hidden="1" customHeight="1" x14ac:dyDescent="0.25">
      <c r="A103" s="4">
        <v>45419</v>
      </c>
      <c r="B103" s="2" t="s">
        <v>9</v>
      </c>
      <c r="C103" s="2" t="s">
        <v>10</v>
      </c>
      <c r="D103" s="2">
        <v>151</v>
      </c>
      <c r="E103" s="8">
        <v>74666</v>
      </c>
      <c r="F103" s="10">
        <f>E103*0.1</f>
        <v>7466.6</v>
      </c>
      <c r="G103">
        <v>7</v>
      </c>
      <c r="H103">
        <v>5</v>
      </c>
      <c r="I103">
        <v>2024</v>
      </c>
      <c r="J103" t="str">
        <f>IF(sales_2025!E103&gt;40000,"high","low")</f>
        <v>high</v>
      </c>
      <c r="K103">
        <f>IF(AND(sales_2025!B103="north",sales_2025!E103&gt;50000),"target is achive",)</f>
        <v>0</v>
      </c>
    </row>
    <row r="104" spans="1:11" ht="14.25" customHeight="1" x14ac:dyDescent="0.25"/>
    <row r="105" spans="1:11" ht="14.25" customHeight="1" x14ac:dyDescent="0.25"/>
    <row r="106" spans="1:11" ht="14.25" customHeight="1" x14ac:dyDescent="0.25"/>
    <row r="107" spans="1:11" ht="14.25" customHeight="1" x14ac:dyDescent="0.25"/>
    <row r="108" spans="1:11" ht="14.25" customHeight="1" x14ac:dyDescent="0.25"/>
    <row r="109" spans="1:11" ht="14.25" customHeight="1" x14ac:dyDescent="0.25"/>
    <row r="110" spans="1:11" ht="14.25" customHeight="1" x14ac:dyDescent="0.25"/>
    <row r="111" spans="1:11" ht="14.25" customHeight="1" x14ac:dyDescent="0.25"/>
    <row r="112" spans="1:11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</sheetData>
  <autoFilter ref="A3:I103" xr:uid="{00000000-0001-0000-0200-000000000000}">
    <filterColumn colId="2">
      <filters>
        <filter val="Headphones"/>
      </filters>
    </filterColumn>
  </autoFilter>
  <sortState xmlns:xlrd2="http://schemas.microsoft.com/office/spreadsheetml/2017/richdata2" ref="A4:F103">
    <sortCondition ref="B4:B103"/>
  </sortState>
  <conditionalFormatting sqref="E1:E1048576">
    <cfRule type="cellIs" dxfId="1" priority="1" operator="greaterThan">
      <formula>50000</formula>
    </cfRule>
  </conditionalFormatting>
  <dataValidations count="1">
    <dataValidation type="whole" allowBlank="1" showInputMessage="1" showErrorMessage="1" sqref="D4:D35 D36:D60 D61:D80 D81:D103" xr:uid="{503D893D-F569-4973-9EF0-A693D4AF2EDC}">
      <formula1>1</formula1>
      <formula2>100</formula2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0"/>
  <sheetViews>
    <sheetView workbookViewId="0">
      <selection activeCell="J11" sqref="J11"/>
    </sheetView>
  </sheetViews>
  <sheetFormatPr defaultColWidth="14.42578125" defaultRowHeight="15" customHeight="1" x14ac:dyDescent="0.25"/>
  <cols>
    <col min="1" max="26" width="8.7109375" customWidth="1"/>
  </cols>
  <sheetData>
    <row r="1" spans="1:10" ht="14.25" customHeight="1" x14ac:dyDescent="0.25">
      <c r="A1" s="1" t="s">
        <v>359</v>
      </c>
      <c r="B1" s="1" t="s">
        <v>360</v>
      </c>
    </row>
    <row r="2" spans="1:10" ht="14.25" customHeight="1" x14ac:dyDescent="0.25">
      <c r="A2" s="1">
        <v>1</v>
      </c>
      <c r="B2" s="1" t="s">
        <v>361</v>
      </c>
      <c r="J2" t="s">
        <v>440</v>
      </c>
    </row>
    <row r="3" spans="1:10" ht="14.25" customHeight="1" x14ac:dyDescent="0.25">
      <c r="A3" s="1">
        <v>2</v>
      </c>
      <c r="B3" s="1" t="s">
        <v>362</v>
      </c>
      <c r="J3" t="s">
        <v>440</v>
      </c>
    </row>
    <row r="4" spans="1:10" ht="14.25" customHeight="1" x14ac:dyDescent="0.25">
      <c r="A4" s="1">
        <v>3</v>
      </c>
      <c r="B4" s="1" t="s">
        <v>363</v>
      </c>
      <c r="J4" t="s">
        <v>440</v>
      </c>
    </row>
    <row r="5" spans="1:10" ht="14.25" customHeight="1" x14ac:dyDescent="0.25">
      <c r="A5" s="1">
        <v>4</v>
      </c>
      <c r="B5" s="1" t="s">
        <v>364</v>
      </c>
      <c r="J5" t="s">
        <v>440</v>
      </c>
    </row>
    <row r="6" spans="1:10" ht="14.25" customHeight="1" x14ac:dyDescent="0.25">
      <c r="A6" s="1">
        <v>5</v>
      </c>
      <c r="B6" s="1" t="s">
        <v>365</v>
      </c>
      <c r="J6" t="s">
        <v>440</v>
      </c>
    </row>
    <row r="7" spans="1:10" ht="14.25" customHeight="1" x14ac:dyDescent="0.25">
      <c r="A7" s="1">
        <v>6</v>
      </c>
      <c r="B7" s="1" t="s">
        <v>366</v>
      </c>
      <c r="J7" t="s">
        <v>440</v>
      </c>
    </row>
    <row r="8" spans="1:10" ht="14.25" customHeight="1" x14ac:dyDescent="0.25">
      <c r="A8" s="1">
        <v>7</v>
      </c>
      <c r="B8" s="1" t="s">
        <v>367</v>
      </c>
      <c r="J8" t="s">
        <v>440</v>
      </c>
    </row>
    <row r="9" spans="1:10" ht="14.25" customHeight="1" x14ac:dyDescent="0.25">
      <c r="A9" s="1">
        <v>8</v>
      </c>
      <c r="B9" s="1" t="s">
        <v>368</v>
      </c>
      <c r="J9" t="s">
        <v>440</v>
      </c>
    </row>
    <row r="10" spans="1:10" ht="14.25" customHeight="1" x14ac:dyDescent="0.25">
      <c r="A10" s="1">
        <v>9</v>
      </c>
      <c r="B10" s="1" t="s">
        <v>369</v>
      </c>
      <c r="J10" t="s">
        <v>440</v>
      </c>
    </row>
    <row r="11" spans="1:10" ht="14.25" customHeight="1" x14ac:dyDescent="0.25">
      <c r="A11" s="1">
        <v>10</v>
      </c>
      <c r="B11" s="1" t="s">
        <v>370</v>
      </c>
      <c r="J11" t="s">
        <v>440</v>
      </c>
    </row>
    <row r="12" spans="1:10" ht="14.25" customHeight="1" x14ac:dyDescent="0.25">
      <c r="A12" s="1">
        <v>11</v>
      </c>
      <c r="B12" s="1" t="s">
        <v>371</v>
      </c>
      <c r="J12" t="s">
        <v>440</v>
      </c>
    </row>
    <row r="13" spans="1:10" ht="14.25" customHeight="1" x14ac:dyDescent="0.25">
      <c r="A13" s="1">
        <v>12</v>
      </c>
      <c r="B13" s="1" t="s">
        <v>372</v>
      </c>
      <c r="J13" t="s">
        <v>440</v>
      </c>
    </row>
    <row r="14" spans="1:10" ht="14.25" customHeight="1" x14ac:dyDescent="0.25">
      <c r="A14" s="1">
        <v>13</v>
      </c>
      <c r="B14" s="1" t="s">
        <v>373</v>
      </c>
      <c r="J14" t="s">
        <v>440</v>
      </c>
    </row>
    <row r="15" spans="1:10" ht="14.25" customHeight="1" x14ac:dyDescent="0.25">
      <c r="A15" s="1">
        <v>14</v>
      </c>
      <c r="B15" s="1" t="s">
        <v>374</v>
      </c>
      <c r="J15" t="s">
        <v>440</v>
      </c>
    </row>
    <row r="16" spans="1:10" ht="14.25" customHeight="1" x14ac:dyDescent="0.25">
      <c r="A16" s="1">
        <v>15</v>
      </c>
      <c r="B16" s="1" t="s">
        <v>375</v>
      </c>
      <c r="J16" t="s">
        <v>440</v>
      </c>
    </row>
    <row r="17" spans="1:10" ht="14.25" customHeight="1" x14ac:dyDescent="0.25">
      <c r="A17" s="1">
        <v>16</v>
      </c>
      <c r="B17" s="1" t="s">
        <v>376</v>
      </c>
      <c r="J17" t="s">
        <v>440</v>
      </c>
    </row>
    <row r="18" spans="1:10" ht="14.25" customHeight="1" x14ac:dyDescent="0.25">
      <c r="A18" s="1">
        <v>17</v>
      </c>
      <c r="B18" s="1" t="s">
        <v>377</v>
      </c>
      <c r="J18" t="s">
        <v>440</v>
      </c>
    </row>
    <row r="19" spans="1:10" ht="14.25" customHeight="1" x14ac:dyDescent="0.25">
      <c r="A19" s="1">
        <v>18</v>
      </c>
      <c r="B19" s="1" t="s">
        <v>378</v>
      </c>
      <c r="J19" t="s">
        <v>440</v>
      </c>
    </row>
    <row r="20" spans="1:10" ht="14.25" customHeight="1" x14ac:dyDescent="0.25">
      <c r="A20" s="1">
        <v>19</v>
      </c>
      <c r="B20" s="1" t="s">
        <v>379</v>
      </c>
      <c r="J20" t="s">
        <v>440</v>
      </c>
    </row>
    <row r="21" spans="1:10" ht="14.25" customHeight="1" x14ac:dyDescent="0.25">
      <c r="A21" s="1">
        <v>20</v>
      </c>
      <c r="B21" s="1" t="s">
        <v>380</v>
      </c>
    </row>
    <row r="22" spans="1:10" ht="14.25" customHeight="1" x14ac:dyDescent="0.25"/>
    <row r="23" spans="1:10" ht="14.25" customHeight="1" x14ac:dyDescent="0.25"/>
    <row r="24" spans="1:10" ht="14.25" customHeight="1" x14ac:dyDescent="0.25"/>
    <row r="25" spans="1:10" ht="14.25" customHeight="1" x14ac:dyDescent="0.25"/>
    <row r="26" spans="1:10" ht="14.25" customHeight="1" x14ac:dyDescent="0.25"/>
    <row r="27" spans="1:10" ht="14.25" customHeight="1" x14ac:dyDescent="0.25"/>
    <row r="28" spans="1:10" ht="14.25" customHeight="1" x14ac:dyDescent="0.25"/>
    <row r="29" spans="1:10" ht="14.25" customHeight="1" x14ac:dyDescent="0.25"/>
    <row r="30" spans="1:10" ht="14.25" customHeight="1" x14ac:dyDescent="0.25"/>
    <row r="31" spans="1:10" ht="14.25" customHeight="1" x14ac:dyDescent="0.25"/>
    <row r="32" spans="1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"/>
  <sheetViews>
    <sheetView tabSelected="1" workbookViewId="0">
      <selection activeCell="B1" sqref="B1:B1048576"/>
    </sheetView>
  </sheetViews>
  <sheetFormatPr defaultColWidth="14.42578125" defaultRowHeight="15" customHeight="1" x14ac:dyDescent="0.25"/>
  <cols>
    <col min="1" max="1" width="11.7109375" bestFit="1" customWidth="1"/>
    <col min="2" max="2" width="14.5703125" bestFit="1" customWidth="1"/>
    <col min="3" max="3" width="10" bestFit="1" customWidth="1"/>
    <col min="4" max="4" width="18" style="14" bestFit="1" customWidth="1"/>
    <col min="5" max="5" width="16.42578125" style="6" customWidth="1"/>
    <col min="6" max="14" width="8.7109375" customWidth="1"/>
    <col min="15" max="15" width="14.28515625" bestFit="1" customWidth="1"/>
    <col min="16" max="18" width="8.7109375" customWidth="1"/>
    <col min="19" max="19" width="11.5703125" bestFit="1" customWidth="1"/>
    <col min="20" max="20" width="9.7109375" bestFit="1" customWidth="1"/>
    <col min="21" max="26" width="8.7109375" customWidth="1"/>
  </cols>
  <sheetData>
    <row r="1" spans="1:20" ht="14.25" customHeight="1" x14ac:dyDescent="0.25">
      <c r="A1" s="3" t="s">
        <v>14</v>
      </c>
      <c r="B1" s="3" t="s">
        <v>15</v>
      </c>
      <c r="C1" s="3" t="s">
        <v>16</v>
      </c>
      <c r="D1" s="17" t="s">
        <v>17</v>
      </c>
      <c r="E1" s="15" t="s">
        <v>18</v>
      </c>
      <c r="F1" t="s">
        <v>15</v>
      </c>
    </row>
    <row r="2" spans="1:20" ht="14.25" customHeight="1" x14ac:dyDescent="0.25">
      <c r="A2" s="4" t="s">
        <v>51</v>
      </c>
      <c r="B2" s="2" t="s">
        <v>52</v>
      </c>
      <c r="C2" s="2" t="s">
        <v>27</v>
      </c>
      <c r="D2" s="18">
        <v>43475</v>
      </c>
      <c r="E2" s="8">
        <v>79553</v>
      </c>
      <c r="F2" t="s">
        <v>459</v>
      </c>
      <c r="G2" t="s">
        <v>460</v>
      </c>
      <c r="O2" t="s">
        <v>452</v>
      </c>
      <c r="P2" t="s">
        <v>453</v>
      </c>
      <c r="Q2" t="s">
        <v>454</v>
      </c>
      <c r="R2" t="s">
        <v>455</v>
      </c>
      <c r="S2" t="s">
        <v>456</v>
      </c>
      <c r="T2" t="s">
        <v>457</v>
      </c>
    </row>
    <row r="3" spans="1:20" ht="14.25" customHeight="1" x14ac:dyDescent="0.25">
      <c r="A3" s="4" t="s">
        <v>19</v>
      </c>
      <c r="B3" s="2" t="s">
        <v>20</v>
      </c>
      <c r="C3" s="2" t="s">
        <v>21</v>
      </c>
      <c r="D3" s="18">
        <v>43506</v>
      </c>
      <c r="E3" s="8">
        <v>51734</v>
      </c>
      <c r="F3" t="s">
        <v>461</v>
      </c>
      <c r="G3" t="s">
        <v>462</v>
      </c>
      <c r="O3" s="10">
        <f>SUM(E:E)</f>
        <v>7030484</v>
      </c>
      <c r="P3">
        <f>AVERAGEIF(C:C,"admin",E:E)</f>
        <v>73672.875</v>
      </c>
      <c r="Q3">
        <f>AVERAGEIF(C:C,"finance",E:E)</f>
        <v>80618.166666666672</v>
      </c>
      <c r="R3" t="e">
        <f>AVERAGEIF(C:C,"hr",E:E)</f>
        <v>#DIV/0!</v>
      </c>
      <c r="S3" s="16">
        <f>_xlfn.MAXIFS(E:E,C:C,"hr")</f>
        <v>0</v>
      </c>
      <c r="T3">
        <f>COUNTIF(D:D,"&gt;1-1-2023")</f>
        <v>37</v>
      </c>
    </row>
    <row r="4" spans="1:20" ht="14.25" customHeight="1" x14ac:dyDescent="0.25">
      <c r="A4" s="4" t="s">
        <v>113</v>
      </c>
      <c r="B4" s="2" t="s">
        <v>35</v>
      </c>
      <c r="C4" s="2" t="s">
        <v>24</v>
      </c>
      <c r="D4" s="18">
        <v>43516</v>
      </c>
      <c r="E4" s="8">
        <v>109471</v>
      </c>
      <c r="F4" t="s">
        <v>463</v>
      </c>
      <c r="G4" t="s">
        <v>464</v>
      </c>
    </row>
    <row r="5" spans="1:20" ht="14.25" customHeight="1" x14ac:dyDescent="0.25">
      <c r="A5" s="4" t="s">
        <v>76</v>
      </c>
      <c r="B5" s="2" t="s">
        <v>77</v>
      </c>
      <c r="C5" s="2" t="s">
        <v>24</v>
      </c>
      <c r="D5" s="18">
        <v>43528</v>
      </c>
      <c r="E5" s="8">
        <v>97303</v>
      </c>
      <c r="F5" t="s">
        <v>465</v>
      </c>
      <c r="G5" t="s">
        <v>466</v>
      </c>
    </row>
    <row r="6" spans="1:20" ht="14.25" customHeight="1" x14ac:dyDescent="0.25">
      <c r="A6" s="4" t="s">
        <v>198</v>
      </c>
      <c r="B6" s="2" t="s">
        <v>79</v>
      </c>
      <c r="C6" s="2" t="s">
        <v>458</v>
      </c>
      <c r="D6" s="18">
        <v>43534</v>
      </c>
      <c r="E6" s="8">
        <v>33567</v>
      </c>
      <c r="F6" t="s">
        <v>467</v>
      </c>
      <c r="G6" t="s">
        <v>464</v>
      </c>
    </row>
    <row r="7" spans="1:20" ht="14.25" customHeight="1" x14ac:dyDescent="0.25">
      <c r="A7" s="4" t="s">
        <v>106</v>
      </c>
      <c r="B7" s="2" t="s">
        <v>107</v>
      </c>
      <c r="C7" s="2" t="s">
        <v>57</v>
      </c>
      <c r="D7" s="18">
        <v>43548</v>
      </c>
      <c r="E7" s="8">
        <v>104579</v>
      </c>
      <c r="F7" t="s">
        <v>468</v>
      </c>
      <c r="G7" t="s">
        <v>462</v>
      </c>
    </row>
    <row r="8" spans="1:20" ht="14.25" customHeight="1" x14ac:dyDescent="0.25">
      <c r="A8" s="4" t="s">
        <v>192</v>
      </c>
      <c r="B8" s="2" t="s">
        <v>193</v>
      </c>
      <c r="C8" s="2" t="s">
        <v>458</v>
      </c>
      <c r="D8" s="18">
        <v>43603</v>
      </c>
      <c r="E8" s="8">
        <v>37219</v>
      </c>
      <c r="F8" t="s">
        <v>469</v>
      </c>
      <c r="G8" t="s">
        <v>464</v>
      </c>
    </row>
    <row r="9" spans="1:20" ht="14.25" customHeight="1" x14ac:dyDescent="0.25">
      <c r="A9" s="4" t="s">
        <v>179</v>
      </c>
      <c r="B9" s="2" t="s">
        <v>180</v>
      </c>
      <c r="C9" s="2" t="s">
        <v>24</v>
      </c>
      <c r="D9" s="18">
        <v>43631</v>
      </c>
      <c r="E9" s="8">
        <v>44216</v>
      </c>
      <c r="F9" t="s">
        <v>470</v>
      </c>
      <c r="G9" t="s">
        <v>471</v>
      </c>
    </row>
    <row r="10" spans="1:20" ht="14.25" customHeight="1" x14ac:dyDescent="0.25">
      <c r="A10" s="4" t="s">
        <v>68</v>
      </c>
      <c r="B10" s="2" t="s">
        <v>69</v>
      </c>
      <c r="C10" s="2" t="s">
        <v>21</v>
      </c>
      <c r="D10" s="18">
        <v>43689</v>
      </c>
      <c r="E10" s="8">
        <v>83656</v>
      </c>
      <c r="F10" t="s">
        <v>459</v>
      </c>
      <c r="G10" t="s">
        <v>466</v>
      </c>
    </row>
    <row r="11" spans="1:20" ht="14.25" customHeight="1" x14ac:dyDescent="0.25">
      <c r="A11" s="4" t="s">
        <v>147</v>
      </c>
      <c r="B11" s="2" t="s">
        <v>148</v>
      </c>
      <c r="C11" s="2" t="s">
        <v>27</v>
      </c>
      <c r="D11" s="18">
        <v>43701</v>
      </c>
      <c r="E11" s="8">
        <v>26828</v>
      </c>
      <c r="F11" t="s">
        <v>472</v>
      </c>
      <c r="G11" t="s">
        <v>473</v>
      </c>
    </row>
    <row r="12" spans="1:20" ht="14.25" customHeight="1" x14ac:dyDescent="0.25">
      <c r="A12" s="4" t="s">
        <v>177</v>
      </c>
      <c r="B12" s="2" t="s">
        <v>178</v>
      </c>
      <c r="C12" s="2" t="s">
        <v>458</v>
      </c>
      <c r="D12" s="18">
        <v>43714</v>
      </c>
      <c r="E12" s="8">
        <v>88076</v>
      </c>
      <c r="F12" t="s">
        <v>474</v>
      </c>
      <c r="G12" t="s">
        <v>464</v>
      </c>
    </row>
    <row r="13" spans="1:20" ht="14.25" customHeight="1" x14ac:dyDescent="0.25">
      <c r="A13" s="4" t="s">
        <v>132</v>
      </c>
      <c r="B13" s="2" t="s">
        <v>133</v>
      </c>
      <c r="C13" s="2" t="s">
        <v>24</v>
      </c>
      <c r="D13" s="18">
        <v>43715</v>
      </c>
      <c r="E13" s="8">
        <v>116922</v>
      </c>
      <c r="F13" t="s">
        <v>475</v>
      </c>
      <c r="G13" t="s">
        <v>476</v>
      </c>
    </row>
    <row r="14" spans="1:20" ht="14.25" customHeight="1" x14ac:dyDescent="0.25">
      <c r="A14" s="4" t="s">
        <v>43</v>
      </c>
      <c r="B14" s="2" t="s">
        <v>44</v>
      </c>
      <c r="C14" s="2" t="s">
        <v>42</v>
      </c>
      <c r="D14" s="18">
        <v>43721</v>
      </c>
      <c r="E14" s="8">
        <v>106449</v>
      </c>
      <c r="F14" t="s">
        <v>477</v>
      </c>
      <c r="G14" t="s">
        <v>466</v>
      </c>
    </row>
    <row r="15" spans="1:20" ht="14.25" customHeight="1" x14ac:dyDescent="0.25">
      <c r="A15" s="4" t="s">
        <v>141</v>
      </c>
      <c r="B15" s="2" t="s">
        <v>142</v>
      </c>
      <c r="C15" s="2" t="s">
        <v>21</v>
      </c>
      <c r="D15" s="18">
        <v>43733</v>
      </c>
      <c r="E15" s="8">
        <v>92584</v>
      </c>
      <c r="F15" t="s">
        <v>478</v>
      </c>
      <c r="G15" t="s">
        <v>476</v>
      </c>
    </row>
    <row r="16" spans="1:20" ht="14.25" customHeight="1" x14ac:dyDescent="0.25">
      <c r="A16" s="4" t="s">
        <v>64</v>
      </c>
      <c r="B16" s="2" t="s">
        <v>65</v>
      </c>
      <c r="C16" s="2" t="s">
        <v>27</v>
      </c>
      <c r="D16" s="18">
        <v>43839</v>
      </c>
      <c r="E16" s="8">
        <v>28812</v>
      </c>
      <c r="F16" t="s">
        <v>469</v>
      </c>
      <c r="G16" t="s">
        <v>479</v>
      </c>
    </row>
    <row r="17" spans="1:7" ht="14.25" customHeight="1" x14ac:dyDescent="0.25">
      <c r="A17" s="4" t="s">
        <v>88</v>
      </c>
      <c r="B17" s="2" t="s">
        <v>89</v>
      </c>
      <c r="C17" s="2" t="s">
        <v>57</v>
      </c>
      <c r="D17" s="18">
        <v>43850</v>
      </c>
      <c r="E17" s="8">
        <v>52446</v>
      </c>
      <c r="F17" t="s">
        <v>459</v>
      </c>
      <c r="G17" t="s">
        <v>462</v>
      </c>
    </row>
    <row r="18" spans="1:7" ht="14.25" customHeight="1" x14ac:dyDescent="0.25">
      <c r="A18" s="4" t="s">
        <v>149</v>
      </c>
      <c r="B18" s="2" t="s">
        <v>150</v>
      </c>
      <c r="C18" s="2" t="s">
        <v>27</v>
      </c>
      <c r="D18" s="18">
        <v>43854</v>
      </c>
      <c r="E18" s="8">
        <v>26917</v>
      </c>
      <c r="F18" t="s">
        <v>463</v>
      </c>
      <c r="G18" t="s">
        <v>480</v>
      </c>
    </row>
    <row r="19" spans="1:7" ht="14.25" customHeight="1" x14ac:dyDescent="0.25">
      <c r="A19" s="4" t="s">
        <v>39</v>
      </c>
      <c r="B19" s="2" t="s">
        <v>29</v>
      </c>
      <c r="C19" s="2" t="s">
        <v>24</v>
      </c>
      <c r="D19" s="18">
        <v>43855</v>
      </c>
      <c r="E19" s="8">
        <v>48275</v>
      </c>
      <c r="F19" t="s">
        <v>472</v>
      </c>
      <c r="G19" t="s">
        <v>462</v>
      </c>
    </row>
    <row r="20" spans="1:7" ht="14.25" customHeight="1" x14ac:dyDescent="0.25">
      <c r="A20" s="4" t="s">
        <v>90</v>
      </c>
      <c r="B20" s="2" t="s">
        <v>91</v>
      </c>
      <c r="C20" s="2" t="s">
        <v>24</v>
      </c>
      <c r="D20" s="18">
        <v>43870</v>
      </c>
      <c r="E20" s="8">
        <v>38046</v>
      </c>
      <c r="F20" t="s">
        <v>481</v>
      </c>
      <c r="G20" t="s">
        <v>460</v>
      </c>
    </row>
    <row r="21" spans="1:7" ht="14.25" customHeight="1" x14ac:dyDescent="0.25">
      <c r="A21" s="4" t="s">
        <v>163</v>
      </c>
      <c r="B21" s="2" t="s">
        <v>129</v>
      </c>
      <c r="C21" s="2" t="s">
        <v>57</v>
      </c>
      <c r="D21" s="18">
        <v>43900</v>
      </c>
      <c r="E21" s="8">
        <v>107180</v>
      </c>
      <c r="F21" t="s">
        <v>461</v>
      </c>
      <c r="G21" t="s">
        <v>464</v>
      </c>
    </row>
    <row r="22" spans="1:7" ht="14.25" customHeight="1" x14ac:dyDescent="0.25">
      <c r="A22" s="4" t="s">
        <v>135</v>
      </c>
      <c r="B22" s="2" t="s">
        <v>136</v>
      </c>
      <c r="C22" s="2" t="s">
        <v>42</v>
      </c>
      <c r="D22" s="18">
        <v>43903</v>
      </c>
      <c r="E22" s="8">
        <v>74376</v>
      </c>
      <c r="F22" t="s">
        <v>470</v>
      </c>
      <c r="G22" t="s">
        <v>460</v>
      </c>
    </row>
    <row r="23" spans="1:7" ht="14.25" customHeight="1" x14ac:dyDescent="0.25">
      <c r="A23" s="4" t="s">
        <v>171</v>
      </c>
      <c r="B23" s="2" t="s">
        <v>172</v>
      </c>
      <c r="C23" s="2" t="s">
        <v>42</v>
      </c>
      <c r="D23" s="18">
        <v>43912</v>
      </c>
      <c r="E23" s="8">
        <v>59387</v>
      </c>
      <c r="F23" t="s">
        <v>482</v>
      </c>
      <c r="G23" t="s">
        <v>476</v>
      </c>
    </row>
    <row r="24" spans="1:7" ht="14.25" customHeight="1" x14ac:dyDescent="0.25">
      <c r="A24" s="4" t="s">
        <v>119</v>
      </c>
      <c r="B24" s="2" t="s">
        <v>120</v>
      </c>
      <c r="C24" s="2" t="s">
        <v>57</v>
      </c>
      <c r="D24" s="18">
        <v>43914</v>
      </c>
      <c r="E24" s="8">
        <v>35954</v>
      </c>
      <c r="F24" t="s">
        <v>483</v>
      </c>
      <c r="G24" t="s">
        <v>471</v>
      </c>
    </row>
    <row r="25" spans="1:7" ht="14.25" customHeight="1" x14ac:dyDescent="0.25">
      <c r="A25" s="4" t="s">
        <v>94</v>
      </c>
      <c r="B25" s="2" t="s">
        <v>95</v>
      </c>
      <c r="C25" s="2" t="s">
        <v>458</v>
      </c>
      <c r="D25" s="18">
        <v>43941</v>
      </c>
      <c r="E25" s="8">
        <v>29324</v>
      </c>
      <c r="F25" t="s">
        <v>472</v>
      </c>
      <c r="G25" t="s">
        <v>460</v>
      </c>
    </row>
    <row r="26" spans="1:7" ht="14.25" customHeight="1" x14ac:dyDescent="0.25">
      <c r="A26" s="4" t="s">
        <v>123</v>
      </c>
      <c r="B26" s="2" t="s">
        <v>124</v>
      </c>
      <c r="C26" s="2" t="s">
        <v>458</v>
      </c>
      <c r="D26" s="18">
        <v>43953</v>
      </c>
      <c r="E26" s="8">
        <v>71514</v>
      </c>
      <c r="F26" t="s">
        <v>477</v>
      </c>
      <c r="G26" t="s">
        <v>476</v>
      </c>
    </row>
    <row r="27" spans="1:7" ht="14.25" customHeight="1" x14ac:dyDescent="0.25">
      <c r="A27" s="4" t="s">
        <v>87</v>
      </c>
      <c r="B27" s="2" t="s">
        <v>52</v>
      </c>
      <c r="C27" s="2" t="s">
        <v>42</v>
      </c>
      <c r="D27" s="18">
        <v>43976</v>
      </c>
      <c r="E27" s="8">
        <v>110655</v>
      </c>
      <c r="F27" t="s">
        <v>459</v>
      </c>
      <c r="G27" t="s">
        <v>460</v>
      </c>
    </row>
    <row r="28" spans="1:7" ht="14.25" customHeight="1" x14ac:dyDescent="0.25">
      <c r="A28" s="4" t="s">
        <v>92</v>
      </c>
      <c r="B28" s="2" t="s">
        <v>93</v>
      </c>
      <c r="C28" s="2" t="s">
        <v>57</v>
      </c>
      <c r="D28" s="18">
        <v>43983</v>
      </c>
      <c r="E28" s="8">
        <v>49818</v>
      </c>
      <c r="F28" t="s">
        <v>461</v>
      </c>
      <c r="G28" t="s">
        <v>480</v>
      </c>
    </row>
    <row r="29" spans="1:7" ht="14.25" customHeight="1" x14ac:dyDescent="0.25">
      <c r="A29" s="4" t="s">
        <v>184</v>
      </c>
      <c r="B29" s="2" t="s">
        <v>185</v>
      </c>
      <c r="C29" s="2" t="s">
        <v>42</v>
      </c>
      <c r="D29" s="18">
        <v>44007</v>
      </c>
      <c r="E29" s="8">
        <v>51614</v>
      </c>
      <c r="F29" t="s">
        <v>467</v>
      </c>
      <c r="G29" t="s">
        <v>484</v>
      </c>
    </row>
    <row r="30" spans="1:7" ht="14.25" customHeight="1" x14ac:dyDescent="0.25">
      <c r="A30" s="4" t="s">
        <v>159</v>
      </c>
      <c r="B30" s="2" t="s">
        <v>160</v>
      </c>
      <c r="C30" s="2" t="s">
        <v>21</v>
      </c>
      <c r="D30" s="18">
        <v>44043</v>
      </c>
      <c r="E30" s="8">
        <v>84383</v>
      </c>
      <c r="F30" t="s">
        <v>467</v>
      </c>
      <c r="G30" t="s">
        <v>473</v>
      </c>
    </row>
    <row r="31" spans="1:7" ht="14.25" customHeight="1" x14ac:dyDescent="0.25">
      <c r="A31" s="4" t="s">
        <v>155</v>
      </c>
      <c r="B31" s="2" t="s">
        <v>156</v>
      </c>
      <c r="C31" s="2" t="s">
        <v>27</v>
      </c>
      <c r="D31" s="18">
        <v>44089</v>
      </c>
      <c r="E31" s="8">
        <v>72362</v>
      </c>
      <c r="F31" t="s">
        <v>461</v>
      </c>
      <c r="G31" t="s">
        <v>476</v>
      </c>
    </row>
    <row r="32" spans="1:7" ht="14.25" customHeight="1" x14ac:dyDescent="0.25">
      <c r="A32" s="4" t="s">
        <v>134</v>
      </c>
      <c r="B32" s="2" t="s">
        <v>33</v>
      </c>
      <c r="C32" s="2" t="s">
        <v>57</v>
      </c>
      <c r="D32" s="18">
        <v>44139</v>
      </c>
      <c r="E32" s="8">
        <v>83067</v>
      </c>
      <c r="F32" t="s">
        <v>478</v>
      </c>
      <c r="G32" t="s">
        <v>464</v>
      </c>
    </row>
    <row r="33" spans="1:7" ht="14.25" customHeight="1" x14ac:dyDescent="0.25">
      <c r="A33" s="4" t="s">
        <v>114</v>
      </c>
      <c r="B33" s="2" t="s">
        <v>115</v>
      </c>
      <c r="C33" s="2" t="s">
        <v>27</v>
      </c>
      <c r="D33" s="18">
        <v>44150</v>
      </c>
      <c r="E33" s="8">
        <v>38234</v>
      </c>
      <c r="F33" t="s">
        <v>475</v>
      </c>
      <c r="G33" t="s">
        <v>471</v>
      </c>
    </row>
    <row r="34" spans="1:7" ht="14.25" customHeight="1" x14ac:dyDescent="0.25">
      <c r="A34" s="4" t="s">
        <v>80</v>
      </c>
      <c r="B34" s="2" t="s">
        <v>81</v>
      </c>
      <c r="C34" s="2" t="s">
        <v>24</v>
      </c>
      <c r="D34" s="18">
        <v>44154</v>
      </c>
      <c r="E34" s="8">
        <v>102149</v>
      </c>
      <c r="F34" t="s">
        <v>481</v>
      </c>
      <c r="G34" t="s">
        <v>480</v>
      </c>
    </row>
    <row r="35" spans="1:7" ht="14.25" customHeight="1" x14ac:dyDescent="0.25">
      <c r="A35" s="4" t="s">
        <v>45</v>
      </c>
      <c r="B35" s="2" t="s">
        <v>46</v>
      </c>
      <c r="C35" s="2" t="s">
        <v>458</v>
      </c>
      <c r="D35" s="18">
        <v>44174</v>
      </c>
      <c r="E35" s="8">
        <v>85004</v>
      </c>
      <c r="F35" t="s">
        <v>485</v>
      </c>
      <c r="G35" t="s">
        <v>460</v>
      </c>
    </row>
    <row r="36" spans="1:7" ht="14.25" customHeight="1" x14ac:dyDescent="0.25">
      <c r="A36" s="4" t="s">
        <v>104</v>
      </c>
      <c r="B36" s="2" t="s">
        <v>105</v>
      </c>
      <c r="C36" s="2" t="s">
        <v>458</v>
      </c>
      <c r="D36" s="18">
        <v>44179</v>
      </c>
      <c r="E36" s="8">
        <v>66427</v>
      </c>
      <c r="F36" t="s">
        <v>482</v>
      </c>
      <c r="G36" t="s">
        <v>484</v>
      </c>
    </row>
    <row r="37" spans="1:7" ht="14.25" customHeight="1" x14ac:dyDescent="0.25">
      <c r="A37" s="4" t="s">
        <v>116</v>
      </c>
      <c r="B37" s="2" t="s">
        <v>117</v>
      </c>
      <c r="C37" s="2" t="s">
        <v>21</v>
      </c>
      <c r="D37" s="18">
        <v>44182</v>
      </c>
      <c r="E37" s="8">
        <v>78441</v>
      </c>
      <c r="F37" t="s">
        <v>472</v>
      </c>
      <c r="G37" t="s">
        <v>484</v>
      </c>
    </row>
    <row r="38" spans="1:7" ht="14.25" customHeight="1" x14ac:dyDescent="0.25">
      <c r="A38" s="4" t="s">
        <v>22</v>
      </c>
      <c r="B38" s="2" t="s">
        <v>23</v>
      </c>
      <c r="C38" s="2" t="s">
        <v>24</v>
      </c>
      <c r="D38" s="18">
        <v>44205</v>
      </c>
      <c r="E38" s="8">
        <v>31371</v>
      </c>
      <c r="F38" t="s">
        <v>486</v>
      </c>
      <c r="G38" t="s">
        <v>471</v>
      </c>
    </row>
    <row r="39" spans="1:7" ht="14.25" customHeight="1" x14ac:dyDescent="0.25">
      <c r="A39" s="4" t="s">
        <v>186</v>
      </c>
      <c r="B39" s="2" t="s">
        <v>187</v>
      </c>
      <c r="C39" s="2" t="s">
        <v>458</v>
      </c>
      <c r="D39" s="18">
        <v>44224</v>
      </c>
      <c r="E39" s="8">
        <v>61258</v>
      </c>
      <c r="F39" t="s">
        <v>463</v>
      </c>
      <c r="G39" t="s">
        <v>462</v>
      </c>
    </row>
    <row r="40" spans="1:7" ht="14.25" customHeight="1" x14ac:dyDescent="0.25">
      <c r="A40" s="4" t="s">
        <v>151</v>
      </c>
      <c r="B40" s="2" t="s">
        <v>152</v>
      </c>
      <c r="C40" s="2" t="s">
        <v>27</v>
      </c>
      <c r="D40" s="18">
        <v>44228</v>
      </c>
      <c r="E40" s="8">
        <v>45618</v>
      </c>
      <c r="F40" t="s">
        <v>477</v>
      </c>
      <c r="G40" t="s">
        <v>460</v>
      </c>
    </row>
    <row r="41" spans="1:7" ht="14.25" customHeight="1" x14ac:dyDescent="0.25">
      <c r="A41" s="4" t="s">
        <v>166</v>
      </c>
      <c r="B41" s="2" t="s">
        <v>167</v>
      </c>
      <c r="C41" s="2" t="s">
        <v>27</v>
      </c>
      <c r="D41" s="18">
        <v>44229</v>
      </c>
      <c r="E41" s="8">
        <v>34865</v>
      </c>
      <c r="F41" t="s">
        <v>459</v>
      </c>
      <c r="G41" t="s">
        <v>479</v>
      </c>
    </row>
    <row r="42" spans="1:7" ht="14.25" customHeight="1" x14ac:dyDescent="0.25">
      <c r="A42" s="4" t="s">
        <v>139</v>
      </c>
      <c r="B42" s="2" t="s">
        <v>140</v>
      </c>
      <c r="C42" s="2" t="s">
        <v>57</v>
      </c>
      <c r="D42" s="18">
        <v>44236</v>
      </c>
      <c r="E42" s="8">
        <v>61976</v>
      </c>
      <c r="F42" t="s">
        <v>487</v>
      </c>
      <c r="G42" t="s">
        <v>480</v>
      </c>
    </row>
    <row r="43" spans="1:7" ht="14.25" customHeight="1" x14ac:dyDescent="0.25">
      <c r="A43" s="4" t="s">
        <v>191</v>
      </c>
      <c r="B43" s="2" t="s">
        <v>69</v>
      </c>
      <c r="C43" s="2" t="s">
        <v>42</v>
      </c>
      <c r="D43" s="18">
        <v>44262</v>
      </c>
      <c r="E43" s="8">
        <v>108524</v>
      </c>
      <c r="F43" t="s">
        <v>459</v>
      </c>
      <c r="G43" t="s">
        <v>466</v>
      </c>
    </row>
    <row r="44" spans="1:7" ht="14.25" customHeight="1" x14ac:dyDescent="0.25">
      <c r="A44" s="4" t="s">
        <v>53</v>
      </c>
      <c r="B44" s="2" t="s">
        <v>54</v>
      </c>
      <c r="C44" s="2" t="s">
        <v>21</v>
      </c>
      <c r="D44" s="18">
        <v>44263</v>
      </c>
      <c r="E44" s="8">
        <v>73447</v>
      </c>
      <c r="F44" t="s">
        <v>486</v>
      </c>
      <c r="G44" t="s">
        <v>484</v>
      </c>
    </row>
    <row r="45" spans="1:7" ht="14.25" customHeight="1" x14ac:dyDescent="0.25">
      <c r="A45" s="4" t="s">
        <v>74</v>
      </c>
      <c r="B45" s="2" t="s">
        <v>75</v>
      </c>
      <c r="C45" s="2" t="s">
        <v>21</v>
      </c>
      <c r="D45" s="18">
        <v>44318</v>
      </c>
      <c r="E45" s="8">
        <v>96158</v>
      </c>
      <c r="F45" t="s">
        <v>485</v>
      </c>
      <c r="G45" t="s">
        <v>484</v>
      </c>
    </row>
    <row r="46" spans="1:7" ht="14.25" customHeight="1" x14ac:dyDescent="0.25">
      <c r="A46" s="4" t="s">
        <v>55</v>
      </c>
      <c r="B46" s="2" t="s">
        <v>56</v>
      </c>
      <c r="C46" s="2" t="s">
        <v>57</v>
      </c>
      <c r="D46" s="18">
        <v>44342</v>
      </c>
      <c r="E46" s="8">
        <v>59529</v>
      </c>
      <c r="F46" t="s">
        <v>469</v>
      </c>
      <c r="G46" t="s">
        <v>471</v>
      </c>
    </row>
    <row r="47" spans="1:7" ht="14.25" customHeight="1" x14ac:dyDescent="0.25">
      <c r="A47" s="4" t="s">
        <v>121</v>
      </c>
      <c r="B47" s="2" t="s">
        <v>122</v>
      </c>
      <c r="C47" s="2" t="s">
        <v>42</v>
      </c>
      <c r="D47" s="18">
        <v>44346</v>
      </c>
      <c r="E47" s="8">
        <v>104239</v>
      </c>
      <c r="F47" t="s">
        <v>467</v>
      </c>
      <c r="G47" t="s">
        <v>471</v>
      </c>
    </row>
    <row r="48" spans="1:7" ht="14.25" customHeight="1" x14ac:dyDescent="0.25">
      <c r="A48" s="4" t="s">
        <v>34</v>
      </c>
      <c r="B48" s="2" t="s">
        <v>35</v>
      </c>
      <c r="C48" s="2" t="s">
        <v>458</v>
      </c>
      <c r="D48" s="18">
        <v>44390</v>
      </c>
      <c r="E48" s="8">
        <v>102735</v>
      </c>
      <c r="F48" t="s">
        <v>463</v>
      </c>
      <c r="G48" t="s">
        <v>464</v>
      </c>
    </row>
    <row r="49" spans="1:7" ht="14.25" customHeight="1" x14ac:dyDescent="0.25">
      <c r="A49" s="4" t="s">
        <v>30</v>
      </c>
      <c r="B49" s="2" t="s">
        <v>31</v>
      </c>
      <c r="C49" s="2" t="s">
        <v>27</v>
      </c>
      <c r="D49" s="18">
        <v>44394</v>
      </c>
      <c r="E49" s="8">
        <v>37910</v>
      </c>
      <c r="F49" t="s">
        <v>485</v>
      </c>
      <c r="G49" t="s">
        <v>462</v>
      </c>
    </row>
    <row r="50" spans="1:7" ht="14.25" customHeight="1" x14ac:dyDescent="0.25">
      <c r="A50" s="4" t="s">
        <v>60</v>
      </c>
      <c r="B50" s="2" t="s">
        <v>61</v>
      </c>
      <c r="C50" s="2" t="s">
        <v>57</v>
      </c>
      <c r="D50" s="18">
        <v>44481</v>
      </c>
      <c r="E50" s="8">
        <v>101090</v>
      </c>
      <c r="F50" t="s">
        <v>486</v>
      </c>
      <c r="G50" t="s">
        <v>460</v>
      </c>
    </row>
    <row r="51" spans="1:7" ht="14.25" customHeight="1" x14ac:dyDescent="0.25">
      <c r="A51" s="4" t="s">
        <v>183</v>
      </c>
      <c r="B51" s="2" t="s">
        <v>56</v>
      </c>
      <c r="C51" s="2" t="s">
        <v>24</v>
      </c>
      <c r="D51" s="18">
        <v>44485</v>
      </c>
      <c r="E51" s="8">
        <v>104767</v>
      </c>
      <c r="F51" t="s">
        <v>469</v>
      </c>
      <c r="G51" t="s">
        <v>471</v>
      </c>
    </row>
    <row r="52" spans="1:7" ht="14.25" customHeight="1" x14ac:dyDescent="0.25">
      <c r="A52" s="4" t="s">
        <v>58</v>
      </c>
      <c r="B52" s="2" t="s">
        <v>59</v>
      </c>
      <c r="C52" s="2" t="s">
        <v>21</v>
      </c>
      <c r="D52" s="18">
        <v>44494</v>
      </c>
      <c r="E52" s="8">
        <v>100703</v>
      </c>
      <c r="F52" t="s">
        <v>470</v>
      </c>
      <c r="G52" t="s">
        <v>484</v>
      </c>
    </row>
    <row r="53" spans="1:7" ht="14.25" customHeight="1" x14ac:dyDescent="0.25">
      <c r="A53" s="4" t="s">
        <v>145</v>
      </c>
      <c r="B53" s="2" t="s">
        <v>146</v>
      </c>
      <c r="C53" s="2" t="s">
        <v>24</v>
      </c>
      <c r="D53" s="18">
        <v>44543</v>
      </c>
      <c r="E53" s="8">
        <v>67533</v>
      </c>
      <c r="F53" t="s">
        <v>485</v>
      </c>
      <c r="G53" t="s">
        <v>471</v>
      </c>
    </row>
    <row r="54" spans="1:7" ht="14.25" customHeight="1" x14ac:dyDescent="0.25">
      <c r="A54" s="4" t="s">
        <v>108</v>
      </c>
      <c r="B54" s="2" t="s">
        <v>109</v>
      </c>
      <c r="C54" s="2" t="s">
        <v>458</v>
      </c>
      <c r="D54" s="18">
        <v>44634</v>
      </c>
      <c r="E54" s="8">
        <v>53746</v>
      </c>
      <c r="F54" t="s">
        <v>470</v>
      </c>
      <c r="G54" t="s">
        <v>476</v>
      </c>
    </row>
    <row r="55" spans="1:7" ht="14.25" customHeight="1" x14ac:dyDescent="0.25">
      <c r="A55" s="4" t="s">
        <v>28</v>
      </c>
      <c r="B55" s="2" t="s">
        <v>29</v>
      </c>
      <c r="C55" s="2" t="s">
        <v>27</v>
      </c>
      <c r="D55" s="18">
        <v>44690</v>
      </c>
      <c r="E55" s="8">
        <v>104905</v>
      </c>
      <c r="F55" t="s">
        <v>472</v>
      </c>
      <c r="G55" t="s">
        <v>462</v>
      </c>
    </row>
    <row r="56" spans="1:7" ht="14.25" customHeight="1" x14ac:dyDescent="0.25">
      <c r="A56" s="4" t="s">
        <v>78</v>
      </c>
      <c r="B56" s="2" t="s">
        <v>79</v>
      </c>
      <c r="C56" s="2" t="s">
        <v>21</v>
      </c>
      <c r="D56" s="18">
        <v>44706</v>
      </c>
      <c r="E56" s="8">
        <v>52139</v>
      </c>
      <c r="F56" t="s">
        <v>467</v>
      </c>
      <c r="G56" t="s">
        <v>464</v>
      </c>
    </row>
    <row r="57" spans="1:7" ht="14.25" customHeight="1" x14ac:dyDescent="0.25">
      <c r="A57" s="4" t="s">
        <v>157</v>
      </c>
      <c r="B57" s="2" t="s">
        <v>158</v>
      </c>
      <c r="C57" s="2" t="s">
        <v>42</v>
      </c>
      <c r="D57" s="18">
        <v>44718</v>
      </c>
      <c r="E57" s="8">
        <v>45128</v>
      </c>
      <c r="F57" t="s">
        <v>482</v>
      </c>
      <c r="G57" t="s">
        <v>462</v>
      </c>
    </row>
    <row r="58" spans="1:7" ht="14.25" customHeight="1" x14ac:dyDescent="0.25">
      <c r="A58" s="4" t="s">
        <v>70</v>
      </c>
      <c r="B58" s="2" t="s">
        <v>71</v>
      </c>
      <c r="C58" s="2" t="s">
        <v>57</v>
      </c>
      <c r="D58" s="18">
        <v>44728</v>
      </c>
      <c r="E58" s="8">
        <v>52285</v>
      </c>
      <c r="F58" t="s">
        <v>468</v>
      </c>
      <c r="G58" t="s">
        <v>464</v>
      </c>
    </row>
    <row r="59" spans="1:7" ht="14.25" customHeight="1" x14ac:dyDescent="0.25">
      <c r="A59" s="4" t="s">
        <v>168</v>
      </c>
      <c r="B59" s="2" t="s">
        <v>48</v>
      </c>
      <c r="C59" s="2" t="s">
        <v>27</v>
      </c>
      <c r="D59" s="18">
        <v>44795</v>
      </c>
      <c r="E59" s="8">
        <v>27219</v>
      </c>
      <c r="F59" t="s">
        <v>483</v>
      </c>
      <c r="G59" t="s">
        <v>480</v>
      </c>
    </row>
    <row r="60" spans="1:7" ht="14.25" customHeight="1" x14ac:dyDescent="0.25">
      <c r="A60" s="4" t="s">
        <v>175</v>
      </c>
      <c r="B60" s="2" t="s">
        <v>176</v>
      </c>
      <c r="C60" s="2" t="s">
        <v>458</v>
      </c>
      <c r="D60" s="18">
        <v>44797</v>
      </c>
      <c r="E60" s="8">
        <v>26342</v>
      </c>
      <c r="F60" t="s">
        <v>486</v>
      </c>
      <c r="G60" t="s">
        <v>473</v>
      </c>
    </row>
    <row r="61" spans="1:7" ht="14.25" customHeight="1" x14ac:dyDescent="0.25">
      <c r="A61" s="4" t="s">
        <v>195</v>
      </c>
      <c r="B61" s="2" t="s">
        <v>196</v>
      </c>
      <c r="C61" s="2" t="s">
        <v>57</v>
      </c>
      <c r="D61" s="18">
        <v>44819</v>
      </c>
      <c r="E61" s="8">
        <v>67929</v>
      </c>
      <c r="F61" t="s">
        <v>474</v>
      </c>
      <c r="G61" t="s">
        <v>480</v>
      </c>
    </row>
    <row r="62" spans="1:7" ht="14.25" customHeight="1" x14ac:dyDescent="0.25">
      <c r="A62" s="4" t="s">
        <v>170</v>
      </c>
      <c r="B62" s="2" t="s">
        <v>54</v>
      </c>
      <c r="C62" s="2" t="s">
        <v>21</v>
      </c>
      <c r="D62" s="18">
        <v>44824</v>
      </c>
      <c r="E62" s="8">
        <v>30287</v>
      </c>
      <c r="F62" t="s">
        <v>486</v>
      </c>
      <c r="G62" t="s">
        <v>484</v>
      </c>
    </row>
    <row r="63" spans="1:7" ht="14.25" customHeight="1" x14ac:dyDescent="0.25">
      <c r="A63" s="4" t="s">
        <v>181</v>
      </c>
      <c r="B63" s="2" t="s">
        <v>182</v>
      </c>
      <c r="C63" s="2" t="s">
        <v>57</v>
      </c>
      <c r="D63" s="18">
        <v>44824</v>
      </c>
      <c r="E63" s="8">
        <v>118070</v>
      </c>
      <c r="F63" t="s">
        <v>477</v>
      </c>
      <c r="G63" t="s">
        <v>473</v>
      </c>
    </row>
    <row r="64" spans="1:7" ht="14.25" customHeight="1" x14ac:dyDescent="0.25">
      <c r="A64" s="4" t="s">
        <v>102</v>
      </c>
      <c r="B64" s="2" t="s">
        <v>103</v>
      </c>
      <c r="C64" s="2" t="s">
        <v>27</v>
      </c>
      <c r="D64" s="18">
        <v>44926</v>
      </c>
      <c r="E64" s="8">
        <v>41389</v>
      </c>
      <c r="F64" t="s">
        <v>483</v>
      </c>
      <c r="G64" t="s">
        <v>476</v>
      </c>
    </row>
    <row r="65" spans="1:7" ht="14.25" customHeight="1" x14ac:dyDescent="0.25">
      <c r="A65" s="4" t="s">
        <v>118</v>
      </c>
      <c r="B65" s="2" t="s">
        <v>109</v>
      </c>
      <c r="C65" s="2" t="s">
        <v>458</v>
      </c>
      <c r="D65" s="18">
        <v>44935</v>
      </c>
      <c r="E65" s="8">
        <v>25846</v>
      </c>
      <c r="F65" t="s">
        <v>470</v>
      </c>
      <c r="G65" t="s">
        <v>476</v>
      </c>
    </row>
    <row r="66" spans="1:7" ht="14.25" customHeight="1" x14ac:dyDescent="0.25">
      <c r="A66" s="4" t="s">
        <v>200</v>
      </c>
      <c r="B66" s="2" t="s">
        <v>201</v>
      </c>
      <c r="C66" s="2" t="s">
        <v>57</v>
      </c>
      <c r="D66" s="18">
        <v>44939</v>
      </c>
      <c r="E66" s="8">
        <v>90441</v>
      </c>
      <c r="F66" t="s">
        <v>481</v>
      </c>
      <c r="G66" t="s">
        <v>471</v>
      </c>
    </row>
    <row r="67" spans="1:7" ht="14.25" customHeight="1" x14ac:dyDescent="0.25">
      <c r="A67" s="4" t="s">
        <v>82</v>
      </c>
      <c r="B67" s="2" t="s">
        <v>83</v>
      </c>
      <c r="C67" s="2" t="s">
        <v>458</v>
      </c>
      <c r="D67" s="18">
        <v>44950</v>
      </c>
      <c r="E67" s="8">
        <v>81138</v>
      </c>
      <c r="F67" t="s">
        <v>467</v>
      </c>
      <c r="G67" t="s">
        <v>476</v>
      </c>
    </row>
    <row r="68" spans="1:7" ht="14.25" customHeight="1" x14ac:dyDescent="0.25">
      <c r="A68" s="4" t="s">
        <v>130</v>
      </c>
      <c r="B68" s="2" t="s">
        <v>117</v>
      </c>
      <c r="C68" s="2" t="s">
        <v>42</v>
      </c>
      <c r="D68" s="18">
        <v>45040</v>
      </c>
      <c r="E68" s="8">
        <v>67101</v>
      </c>
      <c r="F68" t="s">
        <v>472</v>
      </c>
      <c r="G68" t="s">
        <v>484</v>
      </c>
    </row>
    <row r="69" spans="1:7" ht="14.25" customHeight="1" x14ac:dyDescent="0.25">
      <c r="A69" s="4" t="s">
        <v>37</v>
      </c>
      <c r="B69" s="2" t="s">
        <v>38</v>
      </c>
      <c r="C69" s="2" t="s">
        <v>27</v>
      </c>
      <c r="D69" s="18">
        <v>45047</v>
      </c>
      <c r="E69" s="8">
        <v>106264</v>
      </c>
      <c r="F69" t="s">
        <v>486</v>
      </c>
      <c r="G69" t="s">
        <v>480</v>
      </c>
    </row>
    <row r="70" spans="1:7" ht="14.25" customHeight="1" x14ac:dyDescent="0.25">
      <c r="A70" s="4" t="s">
        <v>40</v>
      </c>
      <c r="B70" s="2" t="s">
        <v>41</v>
      </c>
      <c r="C70" s="2" t="s">
        <v>42</v>
      </c>
      <c r="D70" s="18">
        <v>45083</v>
      </c>
      <c r="E70" s="8">
        <v>97274</v>
      </c>
      <c r="F70" t="s">
        <v>477</v>
      </c>
      <c r="G70" t="s">
        <v>480</v>
      </c>
    </row>
    <row r="71" spans="1:7" ht="14.25" customHeight="1" x14ac:dyDescent="0.25">
      <c r="A71" s="4" t="s">
        <v>84</v>
      </c>
      <c r="B71" s="2" t="s">
        <v>79</v>
      </c>
      <c r="C71" s="2" t="s">
        <v>21</v>
      </c>
      <c r="D71" s="18">
        <v>45099</v>
      </c>
      <c r="E71" s="8">
        <v>101125</v>
      </c>
      <c r="F71" t="s">
        <v>467</v>
      </c>
      <c r="G71" t="s">
        <v>464</v>
      </c>
    </row>
    <row r="72" spans="1:7" ht="14.25" customHeight="1" x14ac:dyDescent="0.25">
      <c r="A72" s="4" t="s">
        <v>98</v>
      </c>
      <c r="B72" s="2" t="s">
        <v>99</v>
      </c>
      <c r="C72" s="2" t="s">
        <v>57</v>
      </c>
      <c r="D72" s="18">
        <v>45134</v>
      </c>
      <c r="E72" s="8">
        <v>34111</v>
      </c>
      <c r="F72" t="s">
        <v>459</v>
      </c>
      <c r="G72" t="s">
        <v>476</v>
      </c>
    </row>
    <row r="73" spans="1:7" ht="14.25" customHeight="1" x14ac:dyDescent="0.25">
      <c r="A73" s="4" t="s">
        <v>73</v>
      </c>
      <c r="B73" s="2" t="s">
        <v>33</v>
      </c>
      <c r="C73" s="2" t="s">
        <v>57</v>
      </c>
      <c r="D73" s="18">
        <v>45268</v>
      </c>
      <c r="E73" s="8">
        <v>26605</v>
      </c>
      <c r="F73" t="s">
        <v>478</v>
      </c>
      <c r="G73" t="s">
        <v>464</v>
      </c>
    </row>
    <row r="74" spans="1:7" ht="14.25" customHeight="1" x14ac:dyDescent="0.25">
      <c r="A74" s="4" t="s">
        <v>125</v>
      </c>
      <c r="B74" s="2" t="s">
        <v>126</v>
      </c>
      <c r="C74" s="2" t="s">
        <v>458</v>
      </c>
      <c r="D74" s="18">
        <v>45289</v>
      </c>
      <c r="E74" s="8">
        <v>113236</v>
      </c>
      <c r="F74" t="s">
        <v>461</v>
      </c>
      <c r="G74" t="s">
        <v>471</v>
      </c>
    </row>
    <row r="75" spans="1:7" ht="14.25" customHeight="1" x14ac:dyDescent="0.25">
      <c r="A75" s="4" t="s">
        <v>62</v>
      </c>
      <c r="B75" s="2" t="s">
        <v>63</v>
      </c>
      <c r="C75" s="2" t="s">
        <v>27</v>
      </c>
      <c r="D75" s="18">
        <v>45290</v>
      </c>
      <c r="E75" s="8">
        <v>42260</v>
      </c>
      <c r="F75" t="s">
        <v>488</v>
      </c>
      <c r="G75" t="s">
        <v>464</v>
      </c>
    </row>
    <row r="76" spans="1:7" ht="14.25" customHeight="1" x14ac:dyDescent="0.25">
      <c r="A76" s="4" t="s">
        <v>47</v>
      </c>
      <c r="B76" s="2" t="s">
        <v>48</v>
      </c>
      <c r="C76" s="2" t="s">
        <v>27</v>
      </c>
      <c r="D76" s="18">
        <v>45304</v>
      </c>
      <c r="E76" s="8">
        <v>87981</v>
      </c>
      <c r="F76" t="s">
        <v>483</v>
      </c>
      <c r="G76" t="s">
        <v>480</v>
      </c>
    </row>
    <row r="77" spans="1:7" ht="14.25" customHeight="1" x14ac:dyDescent="0.25">
      <c r="A77" s="4" t="s">
        <v>153</v>
      </c>
      <c r="B77" s="2" t="s">
        <v>154</v>
      </c>
      <c r="C77" s="2" t="s">
        <v>24</v>
      </c>
      <c r="D77" s="18">
        <v>45314</v>
      </c>
      <c r="E77" s="8">
        <v>57254</v>
      </c>
      <c r="F77" t="s">
        <v>483</v>
      </c>
      <c r="G77" t="s">
        <v>460</v>
      </c>
    </row>
    <row r="78" spans="1:7" ht="14.25" customHeight="1" x14ac:dyDescent="0.25">
      <c r="A78" s="4" t="s">
        <v>197</v>
      </c>
      <c r="B78" s="2" t="s">
        <v>63</v>
      </c>
      <c r="C78" s="2" t="s">
        <v>27</v>
      </c>
      <c r="D78" s="18">
        <v>45341</v>
      </c>
      <c r="E78" s="8">
        <v>92444</v>
      </c>
      <c r="F78" t="s">
        <v>488</v>
      </c>
      <c r="G78" t="s">
        <v>464</v>
      </c>
    </row>
    <row r="79" spans="1:7" ht="14.25" customHeight="1" x14ac:dyDescent="0.25">
      <c r="A79" s="4" t="s">
        <v>100</v>
      </c>
      <c r="B79" s="2" t="s">
        <v>101</v>
      </c>
      <c r="C79" s="2" t="s">
        <v>21</v>
      </c>
      <c r="D79" s="18">
        <v>45359</v>
      </c>
      <c r="E79" s="8">
        <v>63110</v>
      </c>
      <c r="F79" t="s">
        <v>468</v>
      </c>
      <c r="G79" t="s">
        <v>460</v>
      </c>
    </row>
    <row r="80" spans="1:7" ht="14.25" customHeight="1" x14ac:dyDescent="0.25">
      <c r="A80" s="4" t="s">
        <v>110</v>
      </c>
      <c r="B80" s="2" t="s">
        <v>111</v>
      </c>
      <c r="C80" s="2" t="s">
        <v>458</v>
      </c>
      <c r="D80" s="18">
        <v>45367</v>
      </c>
      <c r="E80" s="8">
        <v>112886</v>
      </c>
      <c r="F80" t="s">
        <v>463</v>
      </c>
      <c r="G80" t="s">
        <v>476</v>
      </c>
    </row>
    <row r="81" spans="1:7" ht="14.25" customHeight="1" x14ac:dyDescent="0.25">
      <c r="A81" s="4" t="s">
        <v>49</v>
      </c>
      <c r="B81" s="2" t="s">
        <v>50</v>
      </c>
      <c r="C81" s="2" t="s">
        <v>27</v>
      </c>
      <c r="D81" s="18">
        <v>45410</v>
      </c>
      <c r="E81" s="8">
        <v>109659</v>
      </c>
      <c r="F81" t="s">
        <v>470</v>
      </c>
      <c r="G81" t="s">
        <v>479</v>
      </c>
    </row>
    <row r="82" spans="1:7" ht="14.25" customHeight="1" x14ac:dyDescent="0.25">
      <c r="A82" s="4" t="s">
        <v>25</v>
      </c>
      <c r="B82" s="2" t="s">
        <v>26</v>
      </c>
      <c r="C82" s="2" t="s">
        <v>27</v>
      </c>
      <c r="D82" s="18">
        <v>45412</v>
      </c>
      <c r="E82" s="8">
        <v>51069</v>
      </c>
      <c r="F82" t="s">
        <v>478</v>
      </c>
      <c r="G82" t="s">
        <v>473</v>
      </c>
    </row>
    <row r="83" spans="1:7" ht="14.25" customHeight="1" x14ac:dyDescent="0.25">
      <c r="A83" s="4" t="s">
        <v>143</v>
      </c>
      <c r="B83" s="2" t="s">
        <v>144</v>
      </c>
      <c r="C83" s="2" t="s">
        <v>57</v>
      </c>
      <c r="D83" s="18">
        <v>45450</v>
      </c>
      <c r="E83" s="8">
        <v>103477</v>
      </c>
      <c r="F83" t="s">
        <v>481</v>
      </c>
      <c r="G83" t="s">
        <v>464</v>
      </c>
    </row>
    <row r="84" spans="1:7" ht="14.25" customHeight="1" x14ac:dyDescent="0.25">
      <c r="A84" s="4" t="s">
        <v>96</v>
      </c>
      <c r="B84" s="2" t="s">
        <v>97</v>
      </c>
      <c r="C84" s="2" t="s">
        <v>24</v>
      </c>
      <c r="D84" s="18">
        <v>45466</v>
      </c>
      <c r="E84" s="8">
        <v>101323</v>
      </c>
      <c r="F84" t="s">
        <v>482</v>
      </c>
      <c r="G84" t="s">
        <v>466</v>
      </c>
    </row>
    <row r="85" spans="1:7" ht="14.25" customHeight="1" x14ac:dyDescent="0.25">
      <c r="A85" s="4" t="s">
        <v>173</v>
      </c>
      <c r="B85" s="2" t="s">
        <v>174</v>
      </c>
      <c r="C85" s="2" t="s">
        <v>57</v>
      </c>
      <c r="D85" s="18">
        <v>45483</v>
      </c>
      <c r="E85" s="8">
        <v>33512</v>
      </c>
      <c r="F85" t="s">
        <v>468</v>
      </c>
      <c r="G85" t="s">
        <v>476</v>
      </c>
    </row>
    <row r="86" spans="1:7" ht="14.25" customHeight="1" x14ac:dyDescent="0.25">
      <c r="A86" s="4" t="s">
        <v>32</v>
      </c>
      <c r="B86" s="2" t="s">
        <v>33</v>
      </c>
      <c r="C86" s="2" t="s">
        <v>27</v>
      </c>
      <c r="D86" s="18">
        <v>45502</v>
      </c>
      <c r="E86" s="8">
        <v>98479</v>
      </c>
      <c r="F86" t="s">
        <v>478</v>
      </c>
      <c r="G86" t="s">
        <v>464</v>
      </c>
    </row>
    <row r="87" spans="1:7" ht="14.25" customHeight="1" x14ac:dyDescent="0.25">
      <c r="A87" s="4" t="s">
        <v>112</v>
      </c>
      <c r="B87" s="2" t="s">
        <v>20</v>
      </c>
      <c r="C87" s="2" t="s">
        <v>24</v>
      </c>
      <c r="D87" s="18">
        <v>45514</v>
      </c>
      <c r="E87" s="8">
        <v>25117</v>
      </c>
      <c r="F87" t="s">
        <v>461</v>
      </c>
      <c r="G87" t="s">
        <v>462</v>
      </c>
    </row>
    <row r="88" spans="1:7" ht="14.25" customHeight="1" x14ac:dyDescent="0.25">
      <c r="A88" s="4" t="s">
        <v>127</v>
      </c>
      <c r="B88" s="2" t="s">
        <v>33</v>
      </c>
      <c r="C88" s="2" t="s">
        <v>27</v>
      </c>
      <c r="D88" s="18">
        <v>45547</v>
      </c>
      <c r="E88" s="8">
        <v>31469</v>
      </c>
      <c r="F88" t="s">
        <v>478</v>
      </c>
      <c r="G88" t="s">
        <v>464</v>
      </c>
    </row>
    <row r="89" spans="1:7" ht="14.25" customHeight="1" x14ac:dyDescent="0.25">
      <c r="A89" s="4" t="s">
        <v>199</v>
      </c>
      <c r="B89" s="2" t="s">
        <v>63</v>
      </c>
      <c r="C89" s="2" t="s">
        <v>21</v>
      </c>
      <c r="D89" s="18">
        <v>45566</v>
      </c>
      <c r="E89" s="8">
        <v>95792</v>
      </c>
      <c r="F89" t="s">
        <v>488</v>
      </c>
      <c r="G89" t="s">
        <v>464</v>
      </c>
    </row>
    <row r="90" spans="1:7" ht="14.25" customHeight="1" x14ac:dyDescent="0.25">
      <c r="A90" s="4" t="s">
        <v>161</v>
      </c>
      <c r="B90" s="2" t="s">
        <v>162</v>
      </c>
      <c r="C90" s="2" t="s">
        <v>57</v>
      </c>
      <c r="D90" s="18">
        <v>45588</v>
      </c>
      <c r="E90" s="8">
        <v>90545</v>
      </c>
      <c r="F90" t="s">
        <v>463</v>
      </c>
      <c r="G90" t="s">
        <v>473</v>
      </c>
    </row>
    <row r="91" spans="1:7" ht="14.25" customHeight="1" x14ac:dyDescent="0.25">
      <c r="A91" s="4" t="s">
        <v>188</v>
      </c>
      <c r="B91" s="2" t="s">
        <v>189</v>
      </c>
      <c r="C91" s="2" t="s">
        <v>458</v>
      </c>
      <c r="D91" s="18">
        <v>45594</v>
      </c>
      <c r="E91" s="8">
        <v>118789</v>
      </c>
      <c r="F91" t="s">
        <v>481</v>
      </c>
      <c r="G91" t="s">
        <v>476</v>
      </c>
    </row>
    <row r="92" spans="1:7" ht="14.25" customHeight="1" x14ac:dyDescent="0.25">
      <c r="A92" s="4" t="s">
        <v>128</v>
      </c>
      <c r="B92" s="2" t="s">
        <v>129</v>
      </c>
      <c r="C92" s="2" t="s">
        <v>21</v>
      </c>
      <c r="D92" s="18">
        <v>45608</v>
      </c>
      <c r="E92" s="8">
        <v>55105</v>
      </c>
      <c r="F92" t="s">
        <v>461</v>
      </c>
      <c r="G92" t="s">
        <v>464</v>
      </c>
    </row>
    <row r="93" spans="1:7" ht="14.25" customHeight="1" x14ac:dyDescent="0.25">
      <c r="A93" s="4" t="s">
        <v>169</v>
      </c>
      <c r="B93" s="2" t="s">
        <v>77</v>
      </c>
      <c r="C93" s="2" t="s">
        <v>458</v>
      </c>
      <c r="D93" s="18">
        <v>45611</v>
      </c>
      <c r="E93" s="8">
        <v>64809</v>
      </c>
      <c r="F93" t="s">
        <v>465</v>
      </c>
      <c r="G93" t="s">
        <v>466</v>
      </c>
    </row>
    <row r="94" spans="1:7" ht="14.25" customHeight="1" x14ac:dyDescent="0.25">
      <c r="A94" s="4" t="s">
        <v>164</v>
      </c>
      <c r="B94" s="2" t="s">
        <v>165</v>
      </c>
      <c r="C94" s="2" t="s">
        <v>24</v>
      </c>
      <c r="D94" s="18">
        <v>45616</v>
      </c>
      <c r="E94" s="8">
        <v>112958</v>
      </c>
      <c r="F94" t="s">
        <v>463</v>
      </c>
      <c r="G94" t="s">
        <v>466</v>
      </c>
    </row>
    <row r="95" spans="1:7" ht="14.25" customHeight="1" x14ac:dyDescent="0.25">
      <c r="A95" s="4" t="s">
        <v>85</v>
      </c>
      <c r="B95" s="2" t="s">
        <v>86</v>
      </c>
      <c r="C95" s="2" t="s">
        <v>458</v>
      </c>
      <c r="D95" s="18">
        <v>45618</v>
      </c>
      <c r="E95" s="8">
        <v>38918</v>
      </c>
      <c r="F95" t="s">
        <v>472</v>
      </c>
      <c r="G95" t="s">
        <v>476</v>
      </c>
    </row>
    <row r="96" spans="1:7" ht="14.25" customHeight="1" x14ac:dyDescent="0.25">
      <c r="A96" s="4" t="s">
        <v>137</v>
      </c>
      <c r="B96" s="2" t="s">
        <v>138</v>
      </c>
      <c r="C96" s="2" t="s">
        <v>24</v>
      </c>
      <c r="D96" s="18">
        <v>45631</v>
      </c>
      <c r="E96" s="8">
        <v>70587</v>
      </c>
      <c r="F96" t="s">
        <v>474</v>
      </c>
      <c r="G96" t="s">
        <v>466</v>
      </c>
    </row>
    <row r="97" spans="1:7" ht="14.25" customHeight="1" x14ac:dyDescent="0.25">
      <c r="A97" s="4" t="s">
        <v>190</v>
      </c>
      <c r="B97" s="2" t="s">
        <v>101</v>
      </c>
      <c r="C97" s="2" t="s">
        <v>21</v>
      </c>
      <c r="D97" s="18">
        <v>45646</v>
      </c>
      <c r="E97" s="8">
        <v>67078</v>
      </c>
      <c r="F97" t="s">
        <v>468</v>
      </c>
      <c r="G97" t="s">
        <v>460</v>
      </c>
    </row>
    <row r="98" spans="1:7" ht="14.25" customHeight="1" x14ac:dyDescent="0.25">
      <c r="A98" s="4" t="s">
        <v>66</v>
      </c>
      <c r="B98" s="2" t="s">
        <v>67</v>
      </c>
      <c r="C98" s="2" t="s">
        <v>21</v>
      </c>
      <c r="D98" s="18">
        <v>45659</v>
      </c>
      <c r="E98" s="8">
        <v>53024</v>
      </c>
      <c r="F98" t="s">
        <v>463</v>
      </c>
      <c r="G98" t="s">
        <v>479</v>
      </c>
    </row>
    <row r="99" spans="1:7" ht="14.25" customHeight="1" x14ac:dyDescent="0.25">
      <c r="A99" s="4" t="s">
        <v>131</v>
      </c>
      <c r="B99" s="2" t="s">
        <v>65</v>
      </c>
      <c r="C99" s="2" t="s">
        <v>24</v>
      </c>
      <c r="D99" s="18">
        <v>45667</v>
      </c>
      <c r="E99" s="8">
        <v>89323</v>
      </c>
      <c r="F99" t="s">
        <v>469</v>
      </c>
      <c r="G99" t="s">
        <v>479</v>
      </c>
    </row>
    <row r="100" spans="1:7" ht="14.25" customHeight="1" x14ac:dyDescent="0.25">
      <c r="A100" s="4" t="s">
        <v>72</v>
      </c>
      <c r="B100" s="2" t="s">
        <v>63</v>
      </c>
      <c r="C100" s="2" t="s">
        <v>42</v>
      </c>
      <c r="D100" s="18">
        <v>45690</v>
      </c>
      <c r="E100" s="8">
        <v>117436</v>
      </c>
      <c r="F100" t="s">
        <v>488</v>
      </c>
      <c r="G100" t="s">
        <v>464</v>
      </c>
    </row>
    <row r="101" spans="1:7" ht="14.25" customHeight="1" x14ac:dyDescent="0.25">
      <c r="A101" s="4" t="s">
        <v>194</v>
      </c>
      <c r="B101" s="2" t="s">
        <v>41</v>
      </c>
      <c r="C101" s="2" t="s">
        <v>42</v>
      </c>
      <c r="D101" s="18">
        <v>45697</v>
      </c>
      <c r="E101" s="8">
        <v>25235</v>
      </c>
      <c r="F101" t="s">
        <v>477</v>
      </c>
      <c r="G101" t="s">
        <v>480</v>
      </c>
    </row>
    <row r="102" spans="1:7" ht="14.25" customHeight="1" x14ac:dyDescent="0.25"/>
    <row r="103" spans="1:7" ht="14.25" customHeight="1" x14ac:dyDescent="0.25"/>
    <row r="104" spans="1:7" ht="14.25" customHeight="1" x14ac:dyDescent="0.25"/>
    <row r="105" spans="1:7" ht="14.25" customHeight="1" x14ac:dyDescent="0.25"/>
    <row r="106" spans="1:7" ht="14.25" customHeight="1" x14ac:dyDescent="0.25"/>
    <row r="107" spans="1:7" ht="14.25" customHeight="1" x14ac:dyDescent="0.25"/>
    <row r="108" spans="1:7" ht="14.25" customHeight="1" x14ac:dyDescent="0.25"/>
    <row r="109" spans="1:7" ht="14.25" customHeight="1" x14ac:dyDescent="0.25"/>
    <row r="110" spans="1:7" ht="14.25" customHeight="1" x14ac:dyDescent="0.25"/>
    <row r="111" spans="1:7" ht="14.25" customHeight="1" x14ac:dyDescent="0.25"/>
    <row r="112" spans="1:7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E101" xr:uid="{00000000-0001-0000-0300-000000000000}">
    <sortState xmlns:xlrd2="http://schemas.microsoft.com/office/spreadsheetml/2017/richdata2" ref="A2:E101">
      <sortCondition ref="D1:D101"/>
    </sortState>
  </autoFilter>
  <sortState xmlns:xlrd2="http://schemas.microsoft.com/office/spreadsheetml/2017/richdata2" ref="A2:E101">
    <sortCondition ref="C2:C101"/>
  </sortState>
  <conditionalFormatting sqref="E1:E1048576">
    <cfRule type="cellIs" dxfId="0" priority="1" operator="lessThan">
      <formula>30000</formula>
    </cfRule>
  </conditionalFormatting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>
      <selection activeCell="C15" sqref="C15"/>
    </sheetView>
  </sheetViews>
  <sheetFormatPr defaultColWidth="14.42578125" defaultRowHeight="15" customHeight="1" x14ac:dyDescent="0.25"/>
  <cols>
    <col min="1" max="1" width="8.7109375" customWidth="1"/>
    <col min="2" max="2" width="56.7109375" customWidth="1"/>
    <col min="3" max="26" width="8.7109375" customWidth="1"/>
  </cols>
  <sheetData>
    <row r="1" spans="1:3" ht="14.25" customHeight="1" x14ac:dyDescent="0.25">
      <c r="A1" s="1" t="s">
        <v>359</v>
      </c>
      <c r="B1" s="1" t="s">
        <v>360</v>
      </c>
    </row>
    <row r="2" spans="1:3" ht="14.25" customHeight="1" x14ac:dyDescent="0.25">
      <c r="A2" s="1">
        <v>1</v>
      </c>
      <c r="B2" s="1" t="s">
        <v>381</v>
      </c>
      <c r="C2" t="s">
        <v>440</v>
      </c>
    </row>
    <row r="3" spans="1:3" ht="14.25" customHeight="1" x14ac:dyDescent="0.25">
      <c r="A3" s="1">
        <v>2</v>
      </c>
      <c r="B3" s="1" t="s">
        <v>382</v>
      </c>
      <c r="C3" t="s">
        <v>440</v>
      </c>
    </row>
    <row r="4" spans="1:3" ht="14.25" customHeight="1" x14ac:dyDescent="0.25">
      <c r="A4" s="1">
        <v>3</v>
      </c>
      <c r="B4" s="1" t="s">
        <v>383</v>
      </c>
      <c r="C4" t="s">
        <v>440</v>
      </c>
    </row>
    <row r="5" spans="1:3" ht="14.25" customHeight="1" x14ac:dyDescent="0.25">
      <c r="A5" s="1">
        <v>4</v>
      </c>
      <c r="B5" s="1" t="s">
        <v>384</v>
      </c>
    </row>
    <row r="6" spans="1:3" ht="14.25" customHeight="1" x14ac:dyDescent="0.25">
      <c r="A6" s="1">
        <v>5</v>
      </c>
      <c r="B6" s="1" t="s">
        <v>385</v>
      </c>
      <c r="C6" t="s">
        <v>440</v>
      </c>
    </row>
    <row r="7" spans="1:3" ht="14.25" customHeight="1" x14ac:dyDescent="0.25">
      <c r="A7" s="1">
        <v>6</v>
      </c>
      <c r="B7" s="1" t="s">
        <v>386</v>
      </c>
      <c r="C7" t="s">
        <v>440</v>
      </c>
    </row>
    <row r="8" spans="1:3" ht="14.25" customHeight="1" x14ac:dyDescent="0.25">
      <c r="A8" s="1">
        <v>7</v>
      </c>
      <c r="B8" s="1" t="s">
        <v>387</v>
      </c>
      <c r="C8" t="s">
        <v>440</v>
      </c>
    </row>
    <row r="9" spans="1:3" ht="14.25" customHeight="1" x14ac:dyDescent="0.25">
      <c r="A9" s="1">
        <v>8</v>
      </c>
      <c r="B9" s="1" t="s">
        <v>388</v>
      </c>
      <c r="C9" t="s">
        <v>440</v>
      </c>
    </row>
    <row r="10" spans="1:3" ht="14.25" customHeight="1" x14ac:dyDescent="0.25">
      <c r="A10" s="1">
        <v>9</v>
      </c>
      <c r="B10" s="1" t="s">
        <v>389</v>
      </c>
      <c r="C10" t="s">
        <v>440</v>
      </c>
    </row>
    <row r="11" spans="1:3" ht="14.25" customHeight="1" x14ac:dyDescent="0.25">
      <c r="A11" s="1">
        <v>10</v>
      </c>
      <c r="B11" s="1" t="s">
        <v>390</v>
      </c>
      <c r="C11" t="s">
        <v>440</v>
      </c>
    </row>
    <row r="12" spans="1:3" ht="14.25" customHeight="1" x14ac:dyDescent="0.25">
      <c r="A12" s="1">
        <v>11</v>
      </c>
      <c r="B12" s="1" t="s">
        <v>391</v>
      </c>
      <c r="C12" t="s">
        <v>440</v>
      </c>
    </row>
    <row r="13" spans="1:3" ht="14.25" customHeight="1" x14ac:dyDescent="0.25">
      <c r="A13" s="1">
        <v>12</v>
      </c>
      <c r="B13" s="1" t="s">
        <v>392</v>
      </c>
      <c r="C13" t="s">
        <v>440</v>
      </c>
    </row>
    <row r="14" spans="1:3" ht="14.25" customHeight="1" x14ac:dyDescent="0.25">
      <c r="A14" s="1">
        <v>13</v>
      </c>
      <c r="B14" s="19" t="s">
        <v>393</v>
      </c>
      <c r="C14" t="s">
        <v>440</v>
      </c>
    </row>
    <row r="15" spans="1:3" ht="14.25" customHeight="1" x14ac:dyDescent="0.25">
      <c r="A15" s="1">
        <v>14</v>
      </c>
      <c r="B15" s="1" t="s">
        <v>394</v>
      </c>
    </row>
    <row r="16" spans="1:3" ht="14.25" customHeight="1" x14ac:dyDescent="0.25">
      <c r="A16" s="1">
        <v>15</v>
      </c>
      <c r="B16" s="1" t="s">
        <v>395</v>
      </c>
    </row>
    <row r="17" spans="1:2" ht="14.25" customHeight="1" x14ac:dyDescent="0.25">
      <c r="A17" s="1">
        <v>16</v>
      </c>
      <c r="B17" s="1" t="s">
        <v>396</v>
      </c>
    </row>
    <row r="18" spans="1:2" ht="14.25" customHeight="1" x14ac:dyDescent="0.25">
      <c r="A18" s="1">
        <v>17</v>
      </c>
      <c r="B18" s="1" t="s">
        <v>397</v>
      </c>
    </row>
    <row r="19" spans="1:2" ht="14.25" customHeight="1" x14ac:dyDescent="0.25">
      <c r="A19" s="1">
        <v>18</v>
      </c>
      <c r="B19" s="1" t="s">
        <v>398</v>
      </c>
    </row>
    <row r="20" spans="1:2" ht="14.25" customHeight="1" x14ac:dyDescent="0.25">
      <c r="A20" s="1">
        <v>19</v>
      </c>
      <c r="B20" s="1" t="s">
        <v>399</v>
      </c>
    </row>
    <row r="21" spans="1:2" ht="14.25" customHeight="1" x14ac:dyDescent="0.25">
      <c r="A21" s="1">
        <v>20</v>
      </c>
      <c r="B21" s="1" t="s">
        <v>400</v>
      </c>
    </row>
    <row r="22" spans="1:2" ht="14.25" customHeight="1" x14ac:dyDescent="0.25"/>
    <row r="23" spans="1:2" ht="14.25" customHeight="1" x14ac:dyDescent="0.25"/>
    <row r="24" spans="1:2" ht="14.25" customHeight="1" x14ac:dyDescent="0.25"/>
    <row r="25" spans="1:2" ht="14.25" customHeight="1" x14ac:dyDescent="0.25"/>
    <row r="26" spans="1:2" ht="14.25" customHeight="1" x14ac:dyDescent="0.25"/>
    <row r="27" spans="1:2" ht="14.25" customHeight="1" x14ac:dyDescent="0.25"/>
    <row r="28" spans="1:2" ht="14.25" customHeight="1" x14ac:dyDescent="0.25"/>
    <row r="29" spans="1:2" ht="14.25" customHeight="1" x14ac:dyDescent="0.25"/>
    <row r="30" spans="1:2" ht="14.25" customHeight="1" x14ac:dyDescent="0.25"/>
    <row r="31" spans="1:2" ht="14.25" customHeight="1" x14ac:dyDescent="0.25"/>
    <row r="32" spans="1: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E9D7-09BD-4B0D-8195-6F62060552B1}">
  <dimension ref="B1:E101"/>
  <sheetViews>
    <sheetView workbookViewId="0">
      <selection activeCell="E1" sqref="E1:E1048576"/>
    </sheetView>
  </sheetViews>
  <sheetFormatPr defaultRowHeight="15" x14ac:dyDescent="0.25"/>
  <cols>
    <col min="2" max="2" width="10.42578125" bestFit="1" customWidth="1"/>
    <col min="5" max="5" width="12.28515625" customWidth="1"/>
  </cols>
  <sheetData>
    <row r="1" spans="2:5" x14ac:dyDescent="0.25">
      <c r="E1" s="3" t="s">
        <v>16</v>
      </c>
    </row>
    <row r="2" spans="2:5" x14ac:dyDescent="0.25">
      <c r="B2" s="14">
        <f ca="1">TODAY()</f>
        <v>46146</v>
      </c>
      <c r="E2" s="2" t="s">
        <v>21</v>
      </c>
    </row>
    <row r="3" spans="2:5" x14ac:dyDescent="0.25">
      <c r="E3" s="2" t="s">
        <v>24</v>
      </c>
    </row>
    <row r="4" spans="2:5" x14ac:dyDescent="0.25">
      <c r="E4" s="2" t="s">
        <v>27</v>
      </c>
    </row>
    <row r="5" spans="2:5" x14ac:dyDescent="0.25">
      <c r="E5" s="2" t="s">
        <v>27</v>
      </c>
    </row>
    <row r="6" spans="2:5" x14ac:dyDescent="0.25">
      <c r="E6" s="2" t="s">
        <v>27</v>
      </c>
    </row>
    <row r="7" spans="2:5" x14ac:dyDescent="0.25">
      <c r="E7" s="2" t="s">
        <v>27</v>
      </c>
    </row>
    <row r="8" spans="2:5" x14ac:dyDescent="0.25">
      <c r="E8" s="2" t="s">
        <v>36</v>
      </c>
    </row>
    <row r="9" spans="2:5" x14ac:dyDescent="0.25">
      <c r="E9" s="2" t="s">
        <v>27</v>
      </c>
    </row>
    <row r="10" spans="2:5" x14ac:dyDescent="0.25">
      <c r="E10" s="2" t="s">
        <v>24</v>
      </c>
    </row>
    <row r="11" spans="2:5" x14ac:dyDescent="0.25">
      <c r="E11" s="2" t="s">
        <v>42</v>
      </c>
    </row>
    <row r="12" spans="2:5" x14ac:dyDescent="0.25">
      <c r="E12" s="2" t="s">
        <v>42</v>
      </c>
    </row>
    <row r="13" spans="2:5" x14ac:dyDescent="0.25">
      <c r="E13" s="2" t="s">
        <v>36</v>
      </c>
    </row>
    <row r="14" spans="2:5" x14ac:dyDescent="0.25">
      <c r="E14" s="2" t="s">
        <v>27</v>
      </c>
    </row>
    <row r="15" spans="2:5" x14ac:dyDescent="0.25">
      <c r="E15" s="2" t="s">
        <v>27</v>
      </c>
    </row>
    <row r="16" spans="2:5" x14ac:dyDescent="0.25">
      <c r="E16" s="2" t="s">
        <v>27</v>
      </c>
    </row>
    <row r="17" spans="5:5" x14ac:dyDescent="0.25">
      <c r="E17" s="2" t="s">
        <v>21</v>
      </c>
    </row>
    <row r="18" spans="5:5" x14ac:dyDescent="0.25">
      <c r="E18" s="2" t="s">
        <v>57</v>
      </c>
    </row>
    <row r="19" spans="5:5" x14ac:dyDescent="0.25">
      <c r="E19" s="2" t="s">
        <v>21</v>
      </c>
    </row>
    <row r="20" spans="5:5" x14ac:dyDescent="0.25">
      <c r="E20" s="2" t="s">
        <v>57</v>
      </c>
    </row>
    <row r="21" spans="5:5" x14ac:dyDescent="0.25">
      <c r="E21" s="2" t="s">
        <v>27</v>
      </c>
    </row>
    <row r="22" spans="5:5" x14ac:dyDescent="0.25">
      <c r="E22" s="2" t="s">
        <v>27</v>
      </c>
    </row>
    <row r="23" spans="5:5" x14ac:dyDescent="0.25">
      <c r="E23" s="2" t="s">
        <v>21</v>
      </c>
    </row>
    <row r="24" spans="5:5" x14ac:dyDescent="0.25">
      <c r="E24" s="2" t="s">
        <v>21</v>
      </c>
    </row>
    <row r="25" spans="5:5" x14ac:dyDescent="0.25">
      <c r="E25" s="2" t="s">
        <v>57</v>
      </c>
    </row>
    <row r="26" spans="5:5" x14ac:dyDescent="0.25">
      <c r="E26" s="2" t="s">
        <v>42</v>
      </c>
    </row>
    <row r="27" spans="5:5" x14ac:dyDescent="0.25">
      <c r="E27" s="2" t="s">
        <v>57</v>
      </c>
    </row>
    <row r="28" spans="5:5" x14ac:dyDescent="0.25">
      <c r="E28" s="2" t="s">
        <v>21</v>
      </c>
    </row>
    <row r="29" spans="5:5" x14ac:dyDescent="0.25">
      <c r="E29" s="2" t="s">
        <v>24</v>
      </c>
    </row>
    <row r="30" spans="5:5" x14ac:dyDescent="0.25">
      <c r="E30" s="2" t="s">
        <v>21</v>
      </c>
    </row>
    <row r="31" spans="5:5" x14ac:dyDescent="0.25">
      <c r="E31" s="2" t="s">
        <v>24</v>
      </c>
    </row>
    <row r="32" spans="5:5" x14ac:dyDescent="0.25">
      <c r="E32" s="2" t="s">
        <v>36</v>
      </c>
    </row>
    <row r="33" spans="5:5" x14ac:dyDescent="0.25">
      <c r="E33" s="2" t="s">
        <v>21</v>
      </c>
    </row>
    <row r="34" spans="5:5" x14ac:dyDescent="0.25">
      <c r="E34" s="2" t="s">
        <v>36</v>
      </c>
    </row>
    <row r="35" spans="5:5" x14ac:dyDescent="0.25">
      <c r="E35" s="2" t="s">
        <v>42</v>
      </c>
    </row>
    <row r="36" spans="5:5" x14ac:dyDescent="0.25">
      <c r="E36" s="2" t="s">
        <v>57</v>
      </c>
    </row>
    <row r="37" spans="5:5" x14ac:dyDescent="0.25">
      <c r="E37" s="2" t="s">
        <v>24</v>
      </c>
    </row>
    <row r="38" spans="5:5" x14ac:dyDescent="0.25">
      <c r="E38" s="2" t="s">
        <v>57</v>
      </c>
    </row>
    <row r="39" spans="5:5" x14ac:dyDescent="0.25">
      <c r="E39" s="2" t="s">
        <v>36</v>
      </c>
    </row>
    <row r="40" spans="5:5" x14ac:dyDescent="0.25">
      <c r="E40" s="2" t="s">
        <v>24</v>
      </c>
    </row>
    <row r="41" spans="5:5" x14ac:dyDescent="0.25">
      <c r="E41" s="2" t="s">
        <v>57</v>
      </c>
    </row>
    <row r="42" spans="5:5" x14ac:dyDescent="0.25">
      <c r="E42" s="2" t="s">
        <v>21</v>
      </c>
    </row>
    <row r="43" spans="5:5" x14ac:dyDescent="0.25">
      <c r="E43" s="2" t="s">
        <v>27</v>
      </c>
    </row>
    <row r="44" spans="5:5" x14ac:dyDescent="0.25">
      <c r="E44" s="2" t="s">
        <v>36</v>
      </c>
    </row>
    <row r="45" spans="5:5" x14ac:dyDescent="0.25">
      <c r="E45" s="2" t="s">
        <v>57</v>
      </c>
    </row>
    <row r="46" spans="5:5" x14ac:dyDescent="0.25">
      <c r="E46" s="2" t="s">
        <v>36</v>
      </c>
    </row>
    <row r="47" spans="5:5" x14ac:dyDescent="0.25">
      <c r="E47" s="2" t="s">
        <v>36</v>
      </c>
    </row>
    <row r="48" spans="5:5" x14ac:dyDescent="0.25">
      <c r="E48" s="2" t="s">
        <v>24</v>
      </c>
    </row>
    <row r="49" spans="5:5" x14ac:dyDescent="0.25">
      <c r="E49" s="2" t="s">
        <v>24</v>
      </c>
    </row>
    <row r="50" spans="5:5" x14ac:dyDescent="0.25">
      <c r="E50" s="2" t="s">
        <v>27</v>
      </c>
    </row>
    <row r="51" spans="5:5" x14ac:dyDescent="0.25">
      <c r="E51" s="2" t="s">
        <v>21</v>
      </c>
    </row>
    <row r="52" spans="5:5" x14ac:dyDescent="0.25">
      <c r="E52" s="2" t="s">
        <v>36</v>
      </c>
    </row>
    <row r="53" spans="5:5" x14ac:dyDescent="0.25">
      <c r="E53" s="2" t="s">
        <v>57</v>
      </c>
    </row>
    <row r="54" spans="5:5" x14ac:dyDescent="0.25">
      <c r="E54" s="2" t="s">
        <v>42</v>
      </c>
    </row>
    <row r="55" spans="5:5" x14ac:dyDescent="0.25">
      <c r="E55" s="2" t="s">
        <v>36</v>
      </c>
    </row>
    <row r="56" spans="5:5" x14ac:dyDescent="0.25">
      <c r="E56" s="2" t="s">
        <v>36</v>
      </c>
    </row>
    <row r="57" spans="5:5" x14ac:dyDescent="0.25">
      <c r="E57" s="2" t="s">
        <v>27</v>
      </c>
    </row>
    <row r="58" spans="5:5" x14ac:dyDescent="0.25">
      <c r="E58" s="2" t="s">
        <v>21</v>
      </c>
    </row>
    <row r="59" spans="5:5" x14ac:dyDescent="0.25">
      <c r="E59" s="2" t="s">
        <v>42</v>
      </c>
    </row>
    <row r="60" spans="5:5" x14ac:dyDescent="0.25">
      <c r="E60" s="2" t="s">
        <v>24</v>
      </c>
    </row>
    <row r="61" spans="5:5" x14ac:dyDescent="0.25">
      <c r="E61" s="2" t="s">
        <v>24</v>
      </c>
    </row>
    <row r="62" spans="5:5" x14ac:dyDescent="0.25">
      <c r="E62" s="2" t="s">
        <v>57</v>
      </c>
    </row>
    <row r="63" spans="5:5" x14ac:dyDescent="0.25">
      <c r="E63" s="2" t="s">
        <v>42</v>
      </c>
    </row>
    <row r="64" spans="5:5" x14ac:dyDescent="0.25">
      <c r="E64" s="2" t="s">
        <v>24</v>
      </c>
    </row>
    <row r="65" spans="5:5" x14ac:dyDescent="0.25">
      <c r="E65" s="2" t="s">
        <v>57</v>
      </c>
    </row>
    <row r="66" spans="5:5" x14ac:dyDescent="0.25">
      <c r="E66" s="2" t="s">
        <v>21</v>
      </c>
    </row>
    <row r="67" spans="5:5" x14ac:dyDescent="0.25">
      <c r="E67" s="2" t="s">
        <v>57</v>
      </c>
    </row>
    <row r="68" spans="5:5" x14ac:dyDescent="0.25">
      <c r="E68" s="2" t="s">
        <v>24</v>
      </c>
    </row>
    <row r="69" spans="5:5" x14ac:dyDescent="0.25">
      <c r="E69" s="2" t="s">
        <v>27</v>
      </c>
    </row>
    <row r="70" spans="5:5" x14ac:dyDescent="0.25">
      <c r="E70" s="2" t="s">
        <v>27</v>
      </c>
    </row>
    <row r="71" spans="5:5" x14ac:dyDescent="0.25">
      <c r="E71" s="2" t="s">
        <v>27</v>
      </c>
    </row>
    <row r="72" spans="5:5" x14ac:dyDescent="0.25">
      <c r="E72" s="2" t="s">
        <v>24</v>
      </c>
    </row>
    <row r="73" spans="5:5" x14ac:dyDescent="0.25">
      <c r="E73" s="2" t="s">
        <v>27</v>
      </c>
    </row>
    <row r="74" spans="5:5" x14ac:dyDescent="0.25">
      <c r="E74" s="2" t="s">
        <v>42</v>
      </c>
    </row>
    <row r="75" spans="5:5" x14ac:dyDescent="0.25">
      <c r="E75" s="2" t="s">
        <v>21</v>
      </c>
    </row>
    <row r="76" spans="5:5" x14ac:dyDescent="0.25">
      <c r="E76" s="2" t="s">
        <v>57</v>
      </c>
    </row>
    <row r="77" spans="5:5" x14ac:dyDescent="0.25">
      <c r="E77" s="2" t="s">
        <v>57</v>
      </c>
    </row>
    <row r="78" spans="5:5" x14ac:dyDescent="0.25">
      <c r="E78" s="2" t="s">
        <v>24</v>
      </c>
    </row>
    <row r="79" spans="5:5" x14ac:dyDescent="0.25">
      <c r="E79" s="2" t="s">
        <v>27</v>
      </c>
    </row>
    <row r="80" spans="5:5" x14ac:dyDescent="0.25">
      <c r="E80" s="2" t="s">
        <v>27</v>
      </c>
    </row>
    <row r="81" spans="5:5" x14ac:dyDescent="0.25">
      <c r="E81" s="2" t="s">
        <v>36</v>
      </c>
    </row>
    <row r="82" spans="5:5" x14ac:dyDescent="0.25">
      <c r="E82" s="2" t="s">
        <v>21</v>
      </c>
    </row>
    <row r="83" spans="5:5" x14ac:dyDescent="0.25">
      <c r="E83" s="2" t="s">
        <v>42</v>
      </c>
    </row>
    <row r="84" spans="5:5" x14ac:dyDescent="0.25">
      <c r="E84" s="2" t="s">
        <v>57</v>
      </c>
    </row>
    <row r="85" spans="5:5" x14ac:dyDescent="0.25">
      <c r="E85" s="2" t="s">
        <v>36</v>
      </c>
    </row>
    <row r="86" spans="5:5" x14ac:dyDescent="0.25">
      <c r="E86" s="2" t="s">
        <v>36</v>
      </c>
    </row>
    <row r="87" spans="5:5" x14ac:dyDescent="0.25">
      <c r="E87" s="2" t="s">
        <v>24</v>
      </c>
    </row>
    <row r="88" spans="5:5" x14ac:dyDescent="0.25">
      <c r="E88" s="2" t="s">
        <v>57</v>
      </c>
    </row>
    <row r="89" spans="5:5" x14ac:dyDescent="0.25">
      <c r="E89" s="2" t="s">
        <v>24</v>
      </c>
    </row>
    <row r="90" spans="5:5" x14ac:dyDescent="0.25">
      <c r="E90" s="2" t="s">
        <v>42</v>
      </c>
    </row>
    <row r="91" spans="5:5" x14ac:dyDescent="0.25">
      <c r="E91" s="2" t="s">
        <v>36</v>
      </c>
    </row>
    <row r="92" spans="5:5" x14ac:dyDescent="0.25">
      <c r="E92" s="2" t="s">
        <v>36</v>
      </c>
    </row>
    <row r="93" spans="5:5" x14ac:dyDescent="0.25">
      <c r="E93" s="2" t="s">
        <v>21</v>
      </c>
    </row>
    <row r="94" spans="5:5" x14ac:dyDescent="0.25">
      <c r="E94" s="2" t="s">
        <v>42</v>
      </c>
    </row>
    <row r="95" spans="5:5" x14ac:dyDescent="0.25">
      <c r="E95" s="2" t="s">
        <v>36</v>
      </c>
    </row>
    <row r="96" spans="5:5" x14ac:dyDescent="0.25">
      <c r="E96" s="2" t="s">
        <v>42</v>
      </c>
    </row>
    <row r="97" spans="5:5" x14ac:dyDescent="0.25">
      <c r="E97" s="2" t="s">
        <v>57</v>
      </c>
    </row>
    <row r="98" spans="5:5" x14ac:dyDescent="0.25">
      <c r="E98" s="2" t="s">
        <v>27</v>
      </c>
    </row>
    <row r="99" spans="5:5" x14ac:dyDescent="0.25">
      <c r="E99" s="2" t="s">
        <v>36</v>
      </c>
    </row>
    <row r="100" spans="5:5" x14ac:dyDescent="0.25">
      <c r="E100" s="2" t="s">
        <v>21</v>
      </c>
    </row>
    <row r="101" spans="5:5" x14ac:dyDescent="0.25">
      <c r="E101" s="2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5" ht="14.25" customHeight="1" x14ac:dyDescent="0.25">
      <c r="A1" s="3" t="s">
        <v>15</v>
      </c>
      <c r="B1" s="3" t="s">
        <v>202</v>
      </c>
      <c r="C1" s="3" t="s">
        <v>203</v>
      </c>
      <c r="D1" s="3"/>
      <c r="E1" s="3"/>
    </row>
    <row r="2" spans="1:5" ht="14.25" customHeight="1" x14ac:dyDescent="0.25">
      <c r="A2" s="4" t="s">
        <v>204</v>
      </c>
      <c r="B2" s="2" t="s">
        <v>205</v>
      </c>
      <c r="C2" s="2">
        <v>64.400000000000006</v>
      </c>
      <c r="D2" s="2"/>
      <c r="E2" s="2"/>
    </row>
    <row r="3" spans="1:5" ht="14.25" customHeight="1" x14ac:dyDescent="0.25">
      <c r="A3" s="4" t="s">
        <v>206</v>
      </c>
      <c r="B3" s="2" t="s">
        <v>207</v>
      </c>
      <c r="C3" s="2">
        <v>40.9</v>
      </c>
      <c r="D3" s="2"/>
      <c r="E3" s="2"/>
    </row>
    <row r="4" spans="1:5" ht="14.25" customHeight="1" x14ac:dyDescent="0.25">
      <c r="A4" s="4" t="s">
        <v>206</v>
      </c>
      <c r="B4" s="2" t="s">
        <v>207</v>
      </c>
      <c r="C4" s="2">
        <v>2.5</v>
      </c>
      <c r="D4" s="2"/>
      <c r="E4" s="2"/>
    </row>
    <row r="5" spans="1:5" ht="14.25" customHeight="1" x14ac:dyDescent="0.25">
      <c r="A5" s="4" t="s">
        <v>208</v>
      </c>
      <c r="B5" s="2" t="s">
        <v>209</v>
      </c>
      <c r="C5" s="2">
        <v>15.6</v>
      </c>
      <c r="D5" s="2"/>
      <c r="E5" s="2"/>
    </row>
    <row r="6" spans="1:5" ht="14.25" customHeight="1" x14ac:dyDescent="0.25">
      <c r="A6" s="4" t="s">
        <v>210</v>
      </c>
      <c r="B6" s="2" t="s">
        <v>211</v>
      </c>
      <c r="C6" s="2">
        <v>71.599999999999994</v>
      </c>
      <c r="D6" s="2"/>
      <c r="E6" s="2"/>
    </row>
    <row r="7" spans="1:5" ht="14.25" customHeight="1" x14ac:dyDescent="0.25">
      <c r="A7" s="4" t="s">
        <v>212</v>
      </c>
      <c r="B7" s="2" t="s">
        <v>209</v>
      </c>
      <c r="C7" s="2">
        <v>65.900000000000006</v>
      </c>
      <c r="D7" s="2"/>
      <c r="E7" s="2"/>
    </row>
    <row r="8" spans="1:5" ht="14.25" customHeight="1" x14ac:dyDescent="0.25">
      <c r="A8" s="4" t="s">
        <v>213</v>
      </c>
      <c r="B8" s="2" t="s">
        <v>209</v>
      </c>
      <c r="C8" s="2">
        <v>2.7</v>
      </c>
      <c r="D8" s="2"/>
      <c r="E8" s="2"/>
    </row>
    <row r="9" spans="1:5" ht="14.25" customHeight="1" x14ac:dyDescent="0.25">
      <c r="A9" s="4" t="s">
        <v>214</v>
      </c>
      <c r="B9" s="2" t="s">
        <v>209</v>
      </c>
      <c r="C9" s="2">
        <v>22.2</v>
      </c>
      <c r="D9" s="2"/>
      <c r="E9" s="2"/>
    </row>
    <row r="10" spans="1:5" ht="14.25" customHeight="1" x14ac:dyDescent="0.25">
      <c r="A10" s="4" t="s">
        <v>215</v>
      </c>
      <c r="B10" s="2" t="s">
        <v>209</v>
      </c>
      <c r="C10" s="2">
        <v>23.1</v>
      </c>
      <c r="D10" s="2"/>
      <c r="E10" s="2"/>
    </row>
    <row r="11" spans="1:5" ht="14.25" customHeight="1" x14ac:dyDescent="0.25">
      <c r="A11" s="4" t="s">
        <v>216</v>
      </c>
      <c r="B11" s="2" t="s">
        <v>217</v>
      </c>
      <c r="C11" s="2">
        <v>67.2</v>
      </c>
      <c r="D11" s="2"/>
      <c r="E11" s="2"/>
    </row>
    <row r="12" spans="1:5" ht="14.25" customHeight="1" x14ac:dyDescent="0.25">
      <c r="A12" s="4" t="s">
        <v>218</v>
      </c>
      <c r="B12" s="2" t="s">
        <v>217</v>
      </c>
      <c r="C12" s="2">
        <v>2</v>
      </c>
      <c r="D12" s="2"/>
      <c r="E12" s="2"/>
    </row>
    <row r="13" spans="1:5" ht="14.25" customHeight="1" x14ac:dyDescent="0.25">
      <c r="A13" s="4" t="s">
        <v>219</v>
      </c>
      <c r="B13" s="2" t="s">
        <v>205</v>
      </c>
      <c r="C13" s="2">
        <v>10.4</v>
      </c>
      <c r="D13" s="2"/>
      <c r="E13" s="2"/>
    </row>
    <row r="14" spans="1:5" ht="14.25" customHeight="1" x14ac:dyDescent="0.25">
      <c r="A14" s="4" t="s">
        <v>206</v>
      </c>
      <c r="B14" s="2" t="s">
        <v>207</v>
      </c>
      <c r="C14" s="2">
        <v>80</v>
      </c>
      <c r="D14" s="2"/>
      <c r="E14" s="2"/>
    </row>
    <row r="15" spans="1:5" ht="14.25" customHeight="1" x14ac:dyDescent="0.25">
      <c r="A15" s="4" t="s">
        <v>220</v>
      </c>
      <c r="B15" s="2" t="s">
        <v>209</v>
      </c>
      <c r="C15" s="2">
        <v>17.899999999999999</v>
      </c>
      <c r="D15" s="2"/>
      <c r="E15" s="2"/>
    </row>
    <row r="16" spans="1:5" ht="14.25" customHeight="1" x14ac:dyDescent="0.25">
      <c r="A16" s="4" t="s">
        <v>216</v>
      </c>
      <c r="B16" s="2" t="s">
        <v>205</v>
      </c>
      <c r="C16" s="2">
        <v>65.3</v>
      </c>
      <c r="D16" s="2"/>
      <c r="E16" s="2"/>
    </row>
    <row r="17" spans="1:5" ht="14.25" customHeight="1" x14ac:dyDescent="0.25">
      <c r="A17" s="4" t="s">
        <v>221</v>
      </c>
      <c r="B17" s="2" t="s">
        <v>207</v>
      </c>
      <c r="C17" s="2">
        <v>23.8</v>
      </c>
      <c r="D17" s="2"/>
      <c r="E17" s="2"/>
    </row>
    <row r="18" spans="1:5" ht="14.25" customHeight="1" x14ac:dyDescent="0.25">
      <c r="A18" s="4" t="s">
        <v>222</v>
      </c>
      <c r="B18" s="2" t="s">
        <v>211</v>
      </c>
      <c r="C18" s="2">
        <v>9.9</v>
      </c>
      <c r="D18" s="2"/>
      <c r="E18" s="2"/>
    </row>
    <row r="19" spans="1:5" ht="14.25" customHeight="1" x14ac:dyDescent="0.25">
      <c r="A19" s="4" t="s">
        <v>218</v>
      </c>
      <c r="B19" s="2" t="s">
        <v>217</v>
      </c>
      <c r="C19" s="2">
        <v>24.3</v>
      </c>
      <c r="D19" s="2"/>
      <c r="E19" s="2"/>
    </row>
    <row r="20" spans="1:5" ht="14.25" customHeight="1" x14ac:dyDescent="0.25">
      <c r="A20" s="4" t="s">
        <v>223</v>
      </c>
      <c r="B20" s="2" t="s">
        <v>207</v>
      </c>
      <c r="C20" s="2">
        <v>72.2</v>
      </c>
      <c r="D20" s="2"/>
      <c r="E20" s="2"/>
    </row>
    <row r="21" spans="1:5" ht="14.25" customHeight="1" x14ac:dyDescent="0.25">
      <c r="A21" s="4" t="s">
        <v>224</v>
      </c>
      <c r="B21" s="2" t="s">
        <v>211</v>
      </c>
      <c r="C21" s="2">
        <v>85.6</v>
      </c>
      <c r="D21" s="2"/>
      <c r="E21" s="2"/>
    </row>
    <row r="22" spans="1:5" ht="14.25" customHeight="1" x14ac:dyDescent="0.25">
      <c r="A22" s="4" t="s">
        <v>225</v>
      </c>
      <c r="B22" s="2" t="s">
        <v>207</v>
      </c>
      <c r="C22" s="2">
        <v>83</v>
      </c>
      <c r="D22" s="2"/>
      <c r="E22" s="2"/>
    </row>
    <row r="23" spans="1:5" ht="14.25" customHeight="1" x14ac:dyDescent="0.25">
      <c r="A23" s="4" t="s">
        <v>225</v>
      </c>
      <c r="B23" s="2" t="s">
        <v>217</v>
      </c>
      <c r="C23" s="2">
        <v>39.700000000000003</v>
      </c>
      <c r="D23" s="2"/>
      <c r="E23" s="2"/>
    </row>
    <row r="24" spans="1:5" ht="14.25" customHeight="1" x14ac:dyDescent="0.25">
      <c r="A24" s="4" t="s">
        <v>226</v>
      </c>
      <c r="B24" s="2" t="s">
        <v>217</v>
      </c>
      <c r="C24" s="2">
        <v>66.8</v>
      </c>
      <c r="D24" s="2"/>
      <c r="E24" s="2"/>
    </row>
    <row r="25" spans="1:5" ht="14.25" customHeight="1" x14ac:dyDescent="0.25">
      <c r="A25" s="4" t="s">
        <v>210</v>
      </c>
      <c r="B25" s="2" t="s">
        <v>205</v>
      </c>
      <c r="C25" s="2">
        <v>20.5</v>
      </c>
      <c r="D25" s="2"/>
      <c r="E25" s="2"/>
    </row>
    <row r="26" spans="1:5" ht="14.25" customHeight="1" x14ac:dyDescent="0.25">
      <c r="A26" s="4" t="s">
        <v>214</v>
      </c>
      <c r="B26" s="2" t="s">
        <v>209</v>
      </c>
      <c r="C26" s="2">
        <v>29.3</v>
      </c>
      <c r="D26" s="2"/>
      <c r="E26" s="2"/>
    </row>
    <row r="27" spans="1:5" ht="14.25" customHeight="1" x14ac:dyDescent="0.25">
      <c r="A27" s="4" t="s">
        <v>227</v>
      </c>
      <c r="B27" s="2" t="s">
        <v>207</v>
      </c>
      <c r="C27" s="2">
        <v>89.6</v>
      </c>
      <c r="D27" s="2"/>
      <c r="E27" s="2"/>
    </row>
    <row r="28" spans="1:5" ht="14.25" customHeight="1" x14ac:dyDescent="0.25">
      <c r="A28" s="4" t="s">
        <v>210</v>
      </c>
      <c r="B28" s="2" t="s">
        <v>207</v>
      </c>
      <c r="C28" s="2">
        <v>1.3</v>
      </c>
      <c r="D28" s="2"/>
      <c r="E28" s="2"/>
    </row>
    <row r="29" spans="1:5" ht="14.25" customHeight="1" x14ac:dyDescent="0.25">
      <c r="A29" s="4" t="s">
        <v>218</v>
      </c>
      <c r="B29" s="2" t="s">
        <v>211</v>
      </c>
      <c r="C29" s="2">
        <v>8.6</v>
      </c>
      <c r="D29" s="2"/>
      <c r="E29" s="2"/>
    </row>
    <row r="30" spans="1:5" ht="14.25" customHeight="1" x14ac:dyDescent="0.25">
      <c r="A30" s="4" t="s">
        <v>228</v>
      </c>
      <c r="B30" s="2" t="s">
        <v>217</v>
      </c>
      <c r="C30" s="2">
        <v>20.8</v>
      </c>
      <c r="D30" s="2"/>
      <c r="E30" s="2"/>
    </row>
    <row r="31" spans="1:5" ht="14.25" customHeight="1" x14ac:dyDescent="0.25">
      <c r="A31" s="4" t="s">
        <v>229</v>
      </c>
      <c r="B31" s="2" t="s">
        <v>207</v>
      </c>
      <c r="C31" s="2">
        <v>2.7</v>
      </c>
      <c r="D31" s="2"/>
      <c r="E31" s="2"/>
    </row>
    <row r="32" spans="1:5" ht="14.25" customHeight="1" x14ac:dyDescent="0.25">
      <c r="A32" s="4" t="s">
        <v>230</v>
      </c>
      <c r="B32" s="2" t="s">
        <v>217</v>
      </c>
      <c r="C32" s="2">
        <v>18.100000000000001</v>
      </c>
      <c r="D32" s="2"/>
      <c r="E32" s="2"/>
    </row>
    <row r="33" spans="1:5" ht="14.25" customHeight="1" x14ac:dyDescent="0.25">
      <c r="A33" s="4" t="s">
        <v>231</v>
      </c>
      <c r="B33" s="2" t="s">
        <v>207</v>
      </c>
      <c r="C33" s="2">
        <v>58.3</v>
      </c>
      <c r="D33" s="2"/>
      <c r="E33" s="2"/>
    </row>
    <row r="34" spans="1:5" ht="14.25" customHeight="1" x14ac:dyDescent="0.25">
      <c r="A34" s="4" t="s">
        <v>232</v>
      </c>
      <c r="B34" s="2" t="s">
        <v>205</v>
      </c>
      <c r="C34" s="2">
        <v>42.1</v>
      </c>
      <c r="D34" s="2"/>
      <c r="E34" s="2"/>
    </row>
    <row r="35" spans="1:5" ht="14.25" customHeight="1" x14ac:dyDescent="0.25">
      <c r="A35" s="4" t="s">
        <v>230</v>
      </c>
      <c r="B35" s="2" t="s">
        <v>209</v>
      </c>
      <c r="C35" s="2">
        <v>89.3</v>
      </c>
      <c r="D35" s="2"/>
      <c r="E35" s="2"/>
    </row>
    <row r="36" spans="1:5" ht="14.25" customHeight="1" x14ac:dyDescent="0.25">
      <c r="A36" s="4" t="s">
        <v>225</v>
      </c>
      <c r="B36" s="2" t="s">
        <v>207</v>
      </c>
      <c r="C36" s="2">
        <v>81.7</v>
      </c>
      <c r="D36" s="2"/>
      <c r="E36" s="2"/>
    </row>
    <row r="37" spans="1:5" ht="14.25" customHeight="1" x14ac:dyDescent="0.25">
      <c r="A37" s="4" t="s">
        <v>233</v>
      </c>
      <c r="B37" s="2" t="s">
        <v>217</v>
      </c>
      <c r="C37" s="2">
        <v>34.200000000000003</v>
      </c>
      <c r="D37" s="2"/>
      <c r="E37" s="2"/>
    </row>
    <row r="38" spans="1:5" ht="14.25" customHeight="1" x14ac:dyDescent="0.25">
      <c r="A38" s="4" t="s">
        <v>230</v>
      </c>
      <c r="B38" s="2" t="s">
        <v>205</v>
      </c>
      <c r="C38" s="2">
        <v>25.9</v>
      </c>
      <c r="D38" s="2"/>
      <c r="E38" s="2"/>
    </row>
    <row r="39" spans="1:5" ht="14.25" customHeight="1" x14ac:dyDescent="0.25">
      <c r="A39" s="4" t="s">
        <v>234</v>
      </c>
      <c r="B39" s="2" t="s">
        <v>207</v>
      </c>
      <c r="C39" s="2">
        <v>38</v>
      </c>
      <c r="D39" s="2"/>
      <c r="E39" s="2"/>
    </row>
    <row r="40" spans="1:5" ht="14.25" customHeight="1" x14ac:dyDescent="0.25">
      <c r="A40" s="4" t="s">
        <v>218</v>
      </c>
      <c r="B40" s="2" t="s">
        <v>211</v>
      </c>
      <c r="C40" s="2">
        <v>59</v>
      </c>
      <c r="D40" s="2"/>
      <c r="E40" s="2"/>
    </row>
    <row r="41" spans="1:5" ht="14.25" customHeight="1" x14ac:dyDescent="0.25">
      <c r="A41" s="4" t="s">
        <v>210</v>
      </c>
      <c r="B41" s="2" t="s">
        <v>209</v>
      </c>
      <c r="C41" s="2">
        <v>26.8</v>
      </c>
      <c r="D41" s="2"/>
      <c r="E41" s="2"/>
    </row>
    <row r="42" spans="1:5" ht="14.25" customHeight="1" x14ac:dyDescent="0.25">
      <c r="A42" s="4" t="s">
        <v>210</v>
      </c>
      <c r="B42" s="2" t="s">
        <v>207</v>
      </c>
      <c r="C42" s="2">
        <v>62.4</v>
      </c>
      <c r="D42" s="2"/>
      <c r="E42" s="2"/>
    </row>
    <row r="43" spans="1:5" ht="14.25" customHeight="1" x14ac:dyDescent="0.25">
      <c r="A43" s="4" t="s">
        <v>227</v>
      </c>
      <c r="B43" s="2" t="s">
        <v>205</v>
      </c>
      <c r="C43" s="2">
        <v>40.9</v>
      </c>
      <c r="D43" s="2"/>
      <c r="E43" s="2"/>
    </row>
    <row r="44" spans="1:5" ht="14.25" customHeight="1" x14ac:dyDescent="0.25">
      <c r="A44" s="4" t="s">
        <v>235</v>
      </c>
      <c r="B44" s="2" t="s">
        <v>211</v>
      </c>
      <c r="C44" s="2">
        <v>55.2</v>
      </c>
      <c r="D44" s="2"/>
      <c r="E44" s="2"/>
    </row>
    <row r="45" spans="1:5" ht="14.25" customHeight="1" x14ac:dyDescent="0.25">
      <c r="A45" s="4" t="s">
        <v>235</v>
      </c>
      <c r="B45" s="2" t="s">
        <v>205</v>
      </c>
      <c r="C45" s="2">
        <v>43.6</v>
      </c>
      <c r="D45" s="2"/>
      <c r="E45" s="2"/>
    </row>
    <row r="46" spans="1:5" ht="14.25" customHeight="1" x14ac:dyDescent="0.25">
      <c r="A46" s="4" t="s">
        <v>236</v>
      </c>
      <c r="B46" s="2" t="s">
        <v>205</v>
      </c>
      <c r="C46" s="2">
        <v>29.4</v>
      </c>
      <c r="D46" s="2"/>
      <c r="E46" s="2"/>
    </row>
    <row r="47" spans="1:5" ht="14.25" customHeight="1" x14ac:dyDescent="0.25">
      <c r="A47" s="4" t="s">
        <v>237</v>
      </c>
      <c r="B47" s="2" t="s">
        <v>211</v>
      </c>
      <c r="C47" s="2">
        <v>94.8</v>
      </c>
      <c r="D47" s="2"/>
      <c r="E47" s="2"/>
    </row>
    <row r="48" spans="1:5" ht="14.25" customHeight="1" x14ac:dyDescent="0.25">
      <c r="A48" s="4" t="s">
        <v>214</v>
      </c>
      <c r="B48" s="2" t="s">
        <v>205</v>
      </c>
      <c r="C48" s="2">
        <v>76.400000000000006</v>
      </c>
      <c r="D48" s="2"/>
      <c r="E48" s="2"/>
    </row>
    <row r="49" spans="1:5" ht="14.25" customHeight="1" x14ac:dyDescent="0.25">
      <c r="A49" s="4" t="s">
        <v>232</v>
      </c>
      <c r="B49" s="2" t="s">
        <v>211</v>
      </c>
      <c r="C49" s="2">
        <v>14</v>
      </c>
      <c r="D49" s="2"/>
      <c r="E49" s="2"/>
    </row>
    <row r="50" spans="1:5" ht="14.25" customHeight="1" x14ac:dyDescent="0.25">
      <c r="A50" s="4" t="s">
        <v>213</v>
      </c>
      <c r="B50" s="2" t="s">
        <v>207</v>
      </c>
      <c r="C50" s="2">
        <v>86.8</v>
      </c>
      <c r="D50" s="2"/>
      <c r="E50" s="2"/>
    </row>
    <row r="51" spans="1:5" ht="14.25" customHeight="1" x14ac:dyDescent="0.25">
      <c r="A51" s="4" t="s">
        <v>230</v>
      </c>
      <c r="B51" s="2" t="s">
        <v>211</v>
      </c>
      <c r="C51" s="2">
        <v>48.7</v>
      </c>
      <c r="D51" s="2"/>
      <c r="E51" s="2"/>
    </row>
    <row r="52" spans="1:5" ht="14.25" customHeight="1" x14ac:dyDescent="0.25">
      <c r="A52" s="4" t="s">
        <v>219</v>
      </c>
      <c r="B52" s="2" t="s">
        <v>211</v>
      </c>
      <c r="C52" s="2">
        <v>89.5</v>
      </c>
      <c r="D52" s="2"/>
      <c r="E52" s="2"/>
    </row>
    <row r="53" spans="1:5" ht="14.25" customHeight="1" x14ac:dyDescent="0.25">
      <c r="A53" s="4" t="s">
        <v>227</v>
      </c>
      <c r="B53" s="2" t="s">
        <v>209</v>
      </c>
      <c r="C53" s="2">
        <v>80</v>
      </c>
      <c r="D53" s="2"/>
      <c r="E53" s="2"/>
    </row>
    <row r="54" spans="1:5" ht="14.25" customHeight="1" x14ac:dyDescent="0.25">
      <c r="A54" s="4" t="s">
        <v>238</v>
      </c>
      <c r="B54" s="2" t="s">
        <v>211</v>
      </c>
      <c r="C54" s="2">
        <v>42.5</v>
      </c>
      <c r="D54" s="2"/>
      <c r="E54" s="2"/>
    </row>
    <row r="55" spans="1:5" ht="14.25" customHeight="1" x14ac:dyDescent="0.25">
      <c r="A55" s="4" t="s">
        <v>239</v>
      </c>
      <c r="B55" s="2" t="s">
        <v>211</v>
      </c>
      <c r="C55" s="2">
        <v>2.2000000000000002</v>
      </c>
      <c r="D55" s="2"/>
      <c r="E55" s="2"/>
    </row>
    <row r="56" spans="1:5" ht="14.25" customHeight="1" x14ac:dyDescent="0.25">
      <c r="A56" s="4" t="s">
        <v>213</v>
      </c>
      <c r="B56" s="2" t="s">
        <v>207</v>
      </c>
      <c r="C56" s="2">
        <v>26.9</v>
      </c>
      <c r="D56" s="2"/>
      <c r="E56" s="2"/>
    </row>
    <row r="57" spans="1:5" ht="14.25" customHeight="1" x14ac:dyDescent="0.25">
      <c r="A57" s="4" t="s">
        <v>229</v>
      </c>
      <c r="B57" s="2" t="s">
        <v>209</v>
      </c>
      <c r="C57" s="2">
        <v>54.2</v>
      </c>
      <c r="D57" s="2"/>
      <c r="E57" s="2"/>
    </row>
    <row r="58" spans="1:5" ht="14.25" customHeight="1" x14ac:dyDescent="0.25">
      <c r="A58" s="4" t="s">
        <v>230</v>
      </c>
      <c r="B58" s="2" t="s">
        <v>217</v>
      </c>
      <c r="C58" s="2">
        <v>63.3</v>
      </c>
      <c r="D58" s="2"/>
      <c r="E58" s="2"/>
    </row>
    <row r="59" spans="1:5" ht="14.25" customHeight="1" x14ac:dyDescent="0.25">
      <c r="A59" s="4" t="s">
        <v>216</v>
      </c>
      <c r="B59" s="2" t="s">
        <v>207</v>
      </c>
      <c r="C59" s="2">
        <v>25.8</v>
      </c>
      <c r="D59" s="2"/>
      <c r="E59" s="2"/>
    </row>
    <row r="60" spans="1:5" ht="14.25" customHeight="1" x14ac:dyDescent="0.25">
      <c r="A60" s="4" t="s">
        <v>238</v>
      </c>
      <c r="B60" s="2" t="s">
        <v>207</v>
      </c>
      <c r="C60" s="2">
        <v>13.9</v>
      </c>
      <c r="D60" s="2"/>
      <c r="E60" s="2"/>
    </row>
    <row r="61" spans="1:5" ht="14.25" customHeight="1" x14ac:dyDescent="0.25">
      <c r="A61" s="4" t="s">
        <v>230</v>
      </c>
      <c r="B61" s="2" t="s">
        <v>217</v>
      </c>
      <c r="C61" s="2">
        <v>83.5</v>
      </c>
      <c r="D61" s="2"/>
      <c r="E61" s="2"/>
    </row>
    <row r="62" spans="1:5" ht="14.25" customHeight="1" x14ac:dyDescent="0.25">
      <c r="A62" s="4" t="s">
        <v>224</v>
      </c>
      <c r="B62" s="2" t="s">
        <v>211</v>
      </c>
      <c r="C62" s="2">
        <v>98.4</v>
      </c>
      <c r="D62" s="2"/>
      <c r="E62" s="2"/>
    </row>
    <row r="63" spans="1:5" ht="14.25" customHeight="1" x14ac:dyDescent="0.25">
      <c r="A63" s="4" t="s">
        <v>212</v>
      </c>
      <c r="B63" s="2" t="s">
        <v>205</v>
      </c>
      <c r="C63" s="2">
        <v>52.6</v>
      </c>
      <c r="D63" s="2"/>
      <c r="E63" s="2"/>
    </row>
    <row r="64" spans="1:5" ht="14.25" customHeight="1" x14ac:dyDescent="0.25">
      <c r="A64" s="4" t="s">
        <v>234</v>
      </c>
      <c r="B64" s="2" t="s">
        <v>209</v>
      </c>
      <c r="C64" s="2">
        <v>17.2</v>
      </c>
      <c r="D64" s="2"/>
      <c r="E64" s="2"/>
    </row>
    <row r="65" spans="1:5" ht="14.25" customHeight="1" x14ac:dyDescent="0.25">
      <c r="A65" s="4" t="s">
        <v>240</v>
      </c>
      <c r="B65" s="2" t="s">
        <v>205</v>
      </c>
      <c r="C65" s="2">
        <v>27.2</v>
      </c>
      <c r="D65" s="2"/>
      <c r="E65" s="2"/>
    </row>
    <row r="66" spans="1:5" ht="14.25" customHeight="1" x14ac:dyDescent="0.25">
      <c r="A66" s="4" t="s">
        <v>221</v>
      </c>
      <c r="B66" s="2" t="s">
        <v>217</v>
      </c>
      <c r="C66" s="2">
        <v>1.8</v>
      </c>
      <c r="D66" s="2"/>
      <c r="E66" s="2"/>
    </row>
    <row r="67" spans="1:5" ht="14.25" customHeight="1" x14ac:dyDescent="0.25">
      <c r="A67" s="4" t="s">
        <v>240</v>
      </c>
      <c r="B67" s="2" t="s">
        <v>207</v>
      </c>
      <c r="C67" s="2">
        <v>91.4</v>
      </c>
      <c r="D67" s="2"/>
      <c r="E67" s="2"/>
    </row>
    <row r="68" spans="1:5" ht="14.25" customHeight="1" x14ac:dyDescent="0.25">
      <c r="A68" s="4" t="s">
        <v>230</v>
      </c>
      <c r="B68" s="2" t="s">
        <v>207</v>
      </c>
      <c r="C68" s="2">
        <v>11.8</v>
      </c>
      <c r="D68" s="2"/>
      <c r="E68" s="2"/>
    </row>
    <row r="69" spans="1:5" ht="14.25" customHeight="1" x14ac:dyDescent="0.25">
      <c r="A69" s="4" t="s">
        <v>229</v>
      </c>
      <c r="B69" s="2" t="s">
        <v>209</v>
      </c>
      <c r="C69" s="2">
        <v>57.7</v>
      </c>
      <c r="D69" s="2"/>
      <c r="E69" s="2"/>
    </row>
    <row r="70" spans="1:5" ht="14.25" customHeight="1" x14ac:dyDescent="0.25">
      <c r="A70" s="4" t="s">
        <v>241</v>
      </c>
      <c r="B70" s="2" t="s">
        <v>207</v>
      </c>
      <c r="C70" s="2">
        <v>27.4</v>
      </c>
      <c r="D70" s="2"/>
      <c r="E70" s="2"/>
    </row>
    <row r="71" spans="1:5" ht="14.25" customHeight="1" x14ac:dyDescent="0.25">
      <c r="A71" s="4" t="s">
        <v>242</v>
      </c>
      <c r="B71" s="2" t="s">
        <v>207</v>
      </c>
      <c r="C71" s="2">
        <v>55.4</v>
      </c>
      <c r="D71" s="2"/>
      <c r="E71" s="2"/>
    </row>
    <row r="72" spans="1:5" ht="14.25" customHeight="1" x14ac:dyDescent="0.25">
      <c r="A72" s="4" t="s">
        <v>239</v>
      </c>
      <c r="B72" s="2" t="s">
        <v>209</v>
      </c>
      <c r="C72" s="2">
        <v>65.099999999999994</v>
      </c>
      <c r="D72" s="2"/>
      <c r="E72" s="2"/>
    </row>
    <row r="73" spans="1:5" ht="14.25" customHeight="1" x14ac:dyDescent="0.25">
      <c r="A73" s="4" t="s">
        <v>243</v>
      </c>
      <c r="B73" s="2" t="s">
        <v>209</v>
      </c>
      <c r="C73" s="2">
        <v>83</v>
      </c>
      <c r="D73" s="2"/>
      <c r="E73" s="2"/>
    </row>
    <row r="74" spans="1:5" ht="14.25" customHeight="1" x14ac:dyDescent="0.25">
      <c r="A74" s="4" t="s">
        <v>232</v>
      </c>
      <c r="B74" s="2" t="s">
        <v>217</v>
      </c>
      <c r="C74" s="2">
        <v>20.6</v>
      </c>
      <c r="D74" s="2"/>
      <c r="E74" s="2"/>
    </row>
    <row r="75" spans="1:5" ht="14.25" customHeight="1" x14ac:dyDescent="0.25">
      <c r="A75" s="4" t="s">
        <v>213</v>
      </c>
      <c r="B75" s="2" t="s">
        <v>207</v>
      </c>
      <c r="C75" s="2">
        <v>1.1000000000000001</v>
      </c>
      <c r="D75" s="2"/>
      <c r="E75" s="2"/>
    </row>
    <row r="76" spans="1:5" ht="14.25" customHeight="1" x14ac:dyDescent="0.25">
      <c r="A76" s="4" t="s">
        <v>214</v>
      </c>
      <c r="B76" s="2" t="s">
        <v>207</v>
      </c>
      <c r="C76" s="2">
        <v>13.7</v>
      </c>
      <c r="D76" s="2"/>
      <c r="E76" s="2"/>
    </row>
    <row r="77" spans="1:5" ht="14.25" customHeight="1" x14ac:dyDescent="0.25">
      <c r="A77" s="4" t="s">
        <v>221</v>
      </c>
      <c r="B77" s="2" t="s">
        <v>217</v>
      </c>
      <c r="C77" s="2">
        <v>90</v>
      </c>
      <c r="D77" s="2"/>
      <c r="E77" s="2"/>
    </row>
    <row r="78" spans="1:5" ht="14.25" customHeight="1" x14ac:dyDescent="0.25">
      <c r="A78" s="4" t="s">
        <v>213</v>
      </c>
      <c r="B78" s="2" t="s">
        <v>211</v>
      </c>
      <c r="C78" s="2">
        <v>87.4</v>
      </c>
      <c r="D78" s="2"/>
      <c r="E78" s="2"/>
    </row>
    <row r="79" spans="1:5" ht="14.25" customHeight="1" x14ac:dyDescent="0.25">
      <c r="A79" s="4" t="s">
        <v>224</v>
      </c>
      <c r="B79" s="2" t="s">
        <v>211</v>
      </c>
      <c r="C79" s="2">
        <v>59.7</v>
      </c>
      <c r="D79" s="2"/>
      <c r="E79" s="2"/>
    </row>
    <row r="80" spans="1:5" ht="14.25" customHeight="1" x14ac:dyDescent="0.25">
      <c r="A80" s="4" t="s">
        <v>204</v>
      </c>
      <c r="B80" s="2" t="s">
        <v>211</v>
      </c>
      <c r="C80" s="2">
        <v>60.1</v>
      </c>
      <c r="D80" s="2"/>
      <c r="E80" s="2"/>
    </row>
    <row r="81" spans="1:5" ht="14.25" customHeight="1" x14ac:dyDescent="0.25">
      <c r="A81" s="4" t="s">
        <v>234</v>
      </c>
      <c r="B81" s="2" t="s">
        <v>217</v>
      </c>
      <c r="C81" s="2">
        <v>66.5</v>
      </c>
      <c r="D81" s="2"/>
      <c r="E81" s="2"/>
    </row>
    <row r="82" spans="1:5" ht="14.25" customHeight="1" x14ac:dyDescent="0.25">
      <c r="A82" s="4" t="s">
        <v>238</v>
      </c>
      <c r="B82" s="2" t="s">
        <v>207</v>
      </c>
      <c r="C82" s="2">
        <v>17.5</v>
      </c>
      <c r="D82" s="2"/>
      <c r="E82" s="2"/>
    </row>
    <row r="83" spans="1:5" ht="14.25" customHeight="1" x14ac:dyDescent="0.25">
      <c r="A83" s="4" t="s">
        <v>242</v>
      </c>
      <c r="B83" s="2" t="s">
        <v>217</v>
      </c>
      <c r="C83" s="2">
        <v>91.4</v>
      </c>
      <c r="D83" s="2"/>
      <c r="E83" s="2"/>
    </row>
    <row r="84" spans="1:5" ht="14.25" customHeight="1" x14ac:dyDescent="0.25">
      <c r="A84" s="4" t="s">
        <v>239</v>
      </c>
      <c r="B84" s="2" t="s">
        <v>217</v>
      </c>
      <c r="C84" s="2">
        <v>41.9</v>
      </c>
      <c r="D84" s="2"/>
      <c r="E84" s="2"/>
    </row>
    <row r="85" spans="1:5" ht="14.25" customHeight="1" x14ac:dyDescent="0.25">
      <c r="A85" s="4" t="s">
        <v>239</v>
      </c>
      <c r="B85" s="2" t="s">
        <v>211</v>
      </c>
      <c r="C85" s="2">
        <v>38.299999999999997</v>
      </c>
      <c r="D85" s="2"/>
      <c r="E85" s="2"/>
    </row>
    <row r="86" spans="1:5" ht="14.25" customHeight="1" x14ac:dyDescent="0.25">
      <c r="A86" s="4" t="s">
        <v>223</v>
      </c>
      <c r="B86" s="2" t="s">
        <v>205</v>
      </c>
      <c r="C86" s="2">
        <v>51.9</v>
      </c>
      <c r="D86" s="2"/>
      <c r="E86" s="2"/>
    </row>
    <row r="87" spans="1:5" ht="14.25" customHeight="1" x14ac:dyDescent="0.25">
      <c r="A87" s="4" t="s">
        <v>238</v>
      </c>
      <c r="B87" s="2" t="s">
        <v>207</v>
      </c>
      <c r="C87" s="2">
        <v>4.7</v>
      </c>
      <c r="D87" s="2"/>
      <c r="E87" s="2"/>
    </row>
    <row r="88" spans="1:5" ht="14.25" customHeight="1" x14ac:dyDescent="0.25">
      <c r="A88" s="4" t="s">
        <v>221</v>
      </c>
      <c r="B88" s="2" t="s">
        <v>211</v>
      </c>
      <c r="C88" s="2">
        <v>16.600000000000001</v>
      </c>
      <c r="D88" s="2"/>
      <c r="E88" s="2"/>
    </row>
    <row r="89" spans="1:5" ht="14.25" customHeight="1" x14ac:dyDescent="0.25">
      <c r="A89" s="4" t="s">
        <v>244</v>
      </c>
      <c r="B89" s="2" t="s">
        <v>205</v>
      </c>
      <c r="C89" s="2">
        <v>73.8</v>
      </c>
      <c r="D89" s="2"/>
      <c r="E89" s="2"/>
    </row>
    <row r="90" spans="1:5" ht="14.25" customHeight="1" x14ac:dyDescent="0.25">
      <c r="A90" s="4" t="s">
        <v>215</v>
      </c>
      <c r="B90" s="2" t="s">
        <v>205</v>
      </c>
      <c r="C90" s="2">
        <v>8.3000000000000007</v>
      </c>
      <c r="D90" s="2"/>
      <c r="E90" s="2"/>
    </row>
    <row r="91" spans="1:5" ht="14.25" customHeight="1" x14ac:dyDescent="0.25">
      <c r="A91" s="4" t="s">
        <v>240</v>
      </c>
      <c r="B91" s="2" t="s">
        <v>209</v>
      </c>
      <c r="C91" s="2">
        <v>60.3</v>
      </c>
      <c r="D91" s="2"/>
      <c r="E91" s="2"/>
    </row>
    <row r="92" spans="1:5" ht="14.25" customHeight="1" x14ac:dyDescent="0.25">
      <c r="A92" s="4" t="s">
        <v>210</v>
      </c>
      <c r="B92" s="2" t="s">
        <v>207</v>
      </c>
      <c r="C92" s="2">
        <v>24.5</v>
      </c>
      <c r="D92" s="2"/>
      <c r="E92" s="2"/>
    </row>
    <row r="93" spans="1:5" ht="14.25" customHeight="1" x14ac:dyDescent="0.25">
      <c r="A93" s="4" t="s">
        <v>229</v>
      </c>
      <c r="B93" s="2" t="s">
        <v>205</v>
      </c>
      <c r="C93" s="2">
        <v>38.9</v>
      </c>
      <c r="D93" s="2"/>
      <c r="E93" s="2"/>
    </row>
    <row r="94" spans="1:5" ht="14.25" customHeight="1" x14ac:dyDescent="0.25">
      <c r="A94" s="4" t="s">
        <v>235</v>
      </c>
      <c r="B94" s="2" t="s">
        <v>211</v>
      </c>
      <c r="C94" s="2">
        <v>28.9</v>
      </c>
      <c r="D94" s="2"/>
      <c r="E94" s="2"/>
    </row>
    <row r="95" spans="1:5" ht="14.25" customHeight="1" x14ac:dyDescent="0.25">
      <c r="A95" s="4" t="s">
        <v>214</v>
      </c>
      <c r="B95" s="2" t="s">
        <v>209</v>
      </c>
      <c r="C95" s="2">
        <v>35.6</v>
      </c>
      <c r="D95" s="2"/>
      <c r="E95" s="2"/>
    </row>
    <row r="96" spans="1:5" ht="14.25" customHeight="1" x14ac:dyDescent="0.25">
      <c r="A96" s="4" t="s">
        <v>231</v>
      </c>
      <c r="B96" s="2" t="s">
        <v>207</v>
      </c>
      <c r="C96" s="2">
        <v>71.900000000000006</v>
      </c>
      <c r="D96" s="2"/>
      <c r="E96" s="2"/>
    </row>
    <row r="97" spans="1:5" ht="14.25" customHeight="1" x14ac:dyDescent="0.25">
      <c r="A97" s="4" t="s">
        <v>223</v>
      </c>
      <c r="B97" s="2" t="s">
        <v>217</v>
      </c>
      <c r="C97" s="2">
        <v>29.7</v>
      </c>
      <c r="D97" s="2"/>
      <c r="E97" s="2"/>
    </row>
    <row r="98" spans="1:5" ht="14.25" customHeight="1" x14ac:dyDescent="0.25">
      <c r="A98" s="4" t="s">
        <v>204</v>
      </c>
      <c r="B98" s="2" t="s">
        <v>211</v>
      </c>
      <c r="C98" s="2">
        <v>56.6</v>
      </c>
      <c r="D98" s="2"/>
      <c r="E98" s="2"/>
    </row>
    <row r="99" spans="1:5" ht="14.25" customHeight="1" x14ac:dyDescent="0.25">
      <c r="A99" s="4" t="s">
        <v>223</v>
      </c>
      <c r="B99" s="2" t="s">
        <v>205</v>
      </c>
      <c r="C99" s="2">
        <v>47.6</v>
      </c>
      <c r="D99" s="2"/>
      <c r="E99" s="2"/>
    </row>
    <row r="100" spans="1:5" ht="14.25" customHeight="1" x14ac:dyDescent="0.25">
      <c r="A100" s="4" t="s">
        <v>241</v>
      </c>
      <c r="B100" s="2" t="s">
        <v>205</v>
      </c>
      <c r="C100" s="2">
        <v>66.400000000000006</v>
      </c>
      <c r="D100" s="2"/>
      <c r="E100" s="2"/>
    </row>
    <row r="101" spans="1:5" ht="14.25" customHeight="1" x14ac:dyDescent="0.25">
      <c r="A101" s="4" t="s">
        <v>210</v>
      </c>
      <c r="B101" s="2" t="s">
        <v>211</v>
      </c>
      <c r="C101" s="2">
        <v>93.7</v>
      </c>
      <c r="D101" s="2"/>
      <c r="E101" s="2"/>
    </row>
    <row r="102" spans="1:5" ht="14.25" customHeight="1" x14ac:dyDescent="0.25"/>
    <row r="103" spans="1:5" ht="14.25" customHeight="1" x14ac:dyDescent="0.25"/>
    <row r="104" spans="1:5" ht="14.25" customHeight="1" x14ac:dyDescent="0.25"/>
    <row r="105" spans="1:5" ht="14.25" customHeight="1" x14ac:dyDescent="0.25"/>
    <row r="106" spans="1:5" ht="14.25" customHeight="1" x14ac:dyDescent="0.25"/>
    <row r="107" spans="1:5" ht="14.25" customHeight="1" x14ac:dyDescent="0.25"/>
    <row r="108" spans="1:5" ht="14.25" customHeight="1" x14ac:dyDescent="0.25"/>
    <row r="109" spans="1:5" ht="14.25" customHeight="1" x14ac:dyDescent="0.25"/>
    <row r="110" spans="1:5" ht="14.25" customHeight="1" x14ac:dyDescent="0.25"/>
    <row r="111" spans="1:5" ht="14.25" customHeight="1" x14ac:dyDescent="0.25"/>
    <row r="112" spans="1:5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" ht="14.25" customHeight="1" x14ac:dyDescent="0.25">
      <c r="A1" s="1" t="s">
        <v>359</v>
      </c>
      <c r="B1" s="1" t="s">
        <v>360</v>
      </c>
    </row>
    <row r="2" spans="1:2" ht="14.25" customHeight="1" x14ac:dyDescent="0.25">
      <c r="A2" s="1">
        <v>1</v>
      </c>
      <c r="B2" s="1" t="s">
        <v>401</v>
      </c>
    </row>
    <row r="3" spans="1:2" ht="14.25" customHeight="1" x14ac:dyDescent="0.25">
      <c r="A3" s="1">
        <v>2</v>
      </c>
      <c r="B3" s="1" t="s">
        <v>402</v>
      </c>
    </row>
    <row r="4" spans="1:2" ht="14.25" customHeight="1" x14ac:dyDescent="0.25">
      <c r="A4" s="1">
        <v>3</v>
      </c>
      <c r="B4" s="1" t="s">
        <v>403</v>
      </c>
    </row>
    <row r="5" spans="1:2" ht="14.25" customHeight="1" x14ac:dyDescent="0.25">
      <c r="A5" s="1">
        <v>4</v>
      </c>
      <c r="B5" s="1" t="s">
        <v>404</v>
      </c>
    </row>
    <row r="6" spans="1:2" ht="14.25" customHeight="1" x14ac:dyDescent="0.25">
      <c r="A6" s="1">
        <v>5</v>
      </c>
      <c r="B6" s="1" t="s">
        <v>405</v>
      </c>
    </row>
    <row r="7" spans="1:2" ht="14.25" customHeight="1" x14ac:dyDescent="0.25">
      <c r="A7" s="1">
        <v>6</v>
      </c>
      <c r="B7" s="1" t="s">
        <v>406</v>
      </c>
    </row>
    <row r="8" spans="1:2" ht="14.25" customHeight="1" x14ac:dyDescent="0.25">
      <c r="A8" s="1">
        <v>7</v>
      </c>
      <c r="B8" s="1" t="s">
        <v>407</v>
      </c>
    </row>
    <row r="9" spans="1:2" ht="14.25" customHeight="1" x14ac:dyDescent="0.25">
      <c r="A9" s="1">
        <v>8</v>
      </c>
      <c r="B9" s="1" t="s">
        <v>408</v>
      </c>
    </row>
    <row r="10" spans="1:2" ht="14.25" customHeight="1" x14ac:dyDescent="0.25">
      <c r="A10" s="1">
        <v>9</v>
      </c>
      <c r="B10" s="1" t="s">
        <v>409</v>
      </c>
    </row>
    <row r="11" spans="1:2" ht="14.25" customHeight="1" x14ac:dyDescent="0.25">
      <c r="A11" s="1">
        <v>10</v>
      </c>
      <c r="B11" s="1" t="s">
        <v>410</v>
      </c>
    </row>
    <row r="12" spans="1:2" ht="14.25" customHeight="1" x14ac:dyDescent="0.25">
      <c r="A12" s="1">
        <v>11</v>
      </c>
      <c r="B12" s="1" t="s">
        <v>411</v>
      </c>
    </row>
    <row r="13" spans="1:2" ht="14.25" customHeight="1" x14ac:dyDescent="0.25">
      <c r="A13" s="1">
        <v>12</v>
      </c>
      <c r="B13" s="1" t="s">
        <v>412</v>
      </c>
    </row>
    <row r="14" spans="1:2" ht="14.25" customHeight="1" x14ac:dyDescent="0.25">
      <c r="A14" s="1">
        <v>13</v>
      </c>
      <c r="B14" s="1" t="s">
        <v>413</v>
      </c>
    </row>
    <row r="15" spans="1:2" ht="14.25" customHeight="1" x14ac:dyDescent="0.25">
      <c r="A15" s="1">
        <v>14</v>
      </c>
      <c r="B15" s="1" t="s">
        <v>414</v>
      </c>
    </row>
    <row r="16" spans="1:2" ht="14.25" customHeight="1" x14ac:dyDescent="0.25">
      <c r="A16" s="1">
        <v>15</v>
      </c>
      <c r="B16" s="1" t="s">
        <v>415</v>
      </c>
    </row>
    <row r="17" spans="1:2" ht="14.25" customHeight="1" x14ac:dyDescent="0.25">
      <c r="A17" s="1">
        <v>16</v>
      </c>
      <c r="B17" s="1" t="s">
        <v>416</v>
      </c>
    </row>
    <row r="18" spans="1:2" ht="14.25" customHeight="1" x14ac:dyDescent="0.25">
      <c r="A18" s="1">
        <v>17</v>
      </c>
      <c r="B18" s="1" t="s">
        <v>417</v>
      </c>
    </row>
    <row r="19" spans="1:2" ht="14.25" customHeight="1" x14ac:dyDescent="0.25">
      <c r="A19" s="1">
        <v>18</v>
      </c>
      <c r="B19" s="1" t="s">
        <v>418</v>
      </c>
    </row>
    <row r="20" spans="1:2" ht="14.25" customHeight="1" x14ac:dyDescent="0.25">
      <c r="A20" s="1">
        <v>19</v>
      </c>
      <c r="B20" s="1" t="s">
        <v>419</v>
      </c>
    </row>
    <row r="21" spans="1:2" ht="14.25" customHeight="1" x14ac:dyDescent="0.25">
      <c r="A21" s="1">
        <v>20</v>
      </c>
      <c r="B21" s="1" t="s">
        <v>420</v>
      </c>
    </row>
    <row r="22" spans="1:2" ht="14.25" customHeight="1" x14ac:dyDescent="0.25"/>
    <row r="23" spans="1:2" ht="14.25" customHeight="1" x14ac:dyDescent="0.25"/>
    <row r="24" spans="1:2" ht="14.25" customHeight="1" x14ac:dyDescent="0.25"/>
    <row r="25" spans="1:2" ht="14.25" customHeight="1" x14ac:dyDescent="0.25"/>
    <row r="26" spans="1:2" ht="14.25" customHeight="1" x14ac:dyDescent="0.25"/>
    <row r="27" spans="1:2" ht="14.25" customHeight="1" x14ac:dyDescent="0.25"/>
    <row r="28" spans="1:2" ht="14.25" customHeight="1" x14ac:dyDescent="0.25"/>
    <row r="29" spans="1:2" ht="14.25" customHeight="1" x14ac:dyDescent="0.25"/>
    <row r="30" spans="1:2" ht="14.25" customHeight="1" x14ac:dyDescent="0.25"/>
    <row r="31" spans="1:2" ht="14.25" customHeight="1" x14ac:dyDescent="0.25"/>
    <row r="32" spans="1: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5" ht="14.25" customHeight="1" x14ac:dyDescent="0.25">
      <c r="A1" s="3" t="s">
        <v>245</v>
      </c>
      <c r="B1" s="3" t="s">
        <v>2</v>
      </c>
      <c r="C1" s="3" t="s">
        <v>246</v>
      </c>
      <c r="D1" s="3" t="s">
        <v>3</v>
      </c>
      <c r="E1" s="3" t="s">
        <v>4</v>
      </c>
    </row>
    <row r="2" spans="1:5" ht="14.25" customHeight="1" x14ac:dyDescent="0.25">
      <c r="A2" s="4" t="s">
        <v>247</v>
      </c>
      <c r="B2" s="2" t="s">
        <v>248</v>
      </c>
      <c r="C2" s="2" t="s">
        <v>249</v>
      </c>
      <c r="D2" s="2">
        <v>170</v>
      </c>
      <c r="E2" s="2">
        <v>14788</v>
      </c>
    </row>
    <row r="3" spans="1:5" ht="14.25" customHeight="1" x14ac:dyDescent="0.25">
      <c r="A3" s="4" t="s">
        <v>250</v>
      </c>
      <c r="B3" s="2" t="s">
        <v>251</v>
      </c>
      <c r="C3" s="2" t="s">
        <v>252</v>
      </c>
      <c r="D3" s="2">
        <v>9</v>
      </c>
      <c r="E3" s="2">
        <v>24150</v>
      </c>
    </row>
    <row r="4" spans="1:5" ht="14.25" customHeight="1" x14ac:dyDescent="0.25">
      <c r="A4" s="4" t="s">
        <v>253</v>
      </c>
      <c r="B4" s="2" t="s">
        <v>12</v>
      </c>
      <c r="C4" s="2" t="s">
        <v>252</v>
      </c>
      <c r="D4" s="2">
        <v>40</v>
      </c>
      <c r="E4" s="2">
        <v>7040</v>
      </c>
    </row>
    <row r="5" spans="1:5" ht="14.25" customHeight="1" x14ac:dyDescent="0.25">
      <c r="A5" s="4" t="s">
        <v>254</v>
      </c>
      <c r="B5" s="2" t="s">
        <v>255</v>
      </c>
      <c r="C5" s="2" t="s">
        <v>249</v>
      </c>
      <c r="D5" s="2">
        <v>25</v>
      </c>
      <c r="E5" s="2">
        <v>32732</v>
      </c>
    </row>
    <row r="6" spans="1:5" ht="14.25" customHeight="1" x14ac:dyDescent="0.25">
      <c r="A6" s="4" t="s">
        <v>256</v>
      </c>
      <c r="B6" s="2" t="s">
        <v>257</v>
      </c>
      <c r="C6" s="2" t="s">
        <v>258</v>
      </c>
      <c r="D6" s="2">
        <v>261</v>
      </c>
      <c r="E6" s="2">
        <v>16922</v>
      </c>
    </row>
    <row r="7" spans="1:5" ht="14.25" customHeight="1" x14ac:dyDescent="0.25">
      <c r="A7" s="4" t="s">
        <v>259</v>
      </c>
      <c r="B7" s="2" t="s">
        <v>257</v>
      </c>
      <c r="C7" s="2" t="s">
        <v>258</v>
      </c>
      <c r="D7" s="2">
        <v>226</v>
      </c>
      <c r="E7" s="2">
        <v>3842</v>
      </c>
    </row>
    <row r="8" spans="1:5" ht="14.25" customHeight="1" x14ac:dyDescent="0.25">
      <c r="A8" s="4" t="s">
        <v>260</v>
      </c>
      <c r="B8" s="2" t="s">
        <v>261</v>
      </c>
      <c r="C8" s="2" t="s">
        <v>252</v>
      </c>
      <c r="D8" s="2">
        <v>124</v>
      </c>
      <c r="E8" s="2">
        <v>42346</v>
      </c>
    </row>
    <row r="9" spans="1:5" ht="14.25" customHeight="1" x14ac:dyDescent="0.25">
      <c r="A9" s="4" t="s">
        <v>262</v>
      </c>
      <c r="B9" s="2" t="s">
        <v>261</v>
      </c>
      <c r="C9" s="2" t="s">
        <v>249</v>
      </c>
      <c r="D9" s="2">
        <v>38</v>
      </c>
      <c r="E9" s="2">
        <v>36112</v>
      </c>
    </row>
    <row r="10" spans="1:5" ht="14.25" customHeight="1" x14ac:dyDescent="0.25">
      <c r="A10" s="4" t="s">
        <v>263</v>
      </c>
      <c r="B10" s="2" t="s">
        <v>257</v>
      </c>
      <c r="C10" s="2" t="s">
        <v>249</v>
      </c>
      <c r="D10" s="2">
        <v>251</v>
      </c>
      <c r="E10" s="2">
        <v>10896</v>
      </c>
    </row>
    <row r="11" spans="1:5" ht="14.25" customHeight="1" x14ac:dyDescent="0.25">
      <c r="A11" s="4" t="s">
        <v>264</v>
      </c>
      <c r="B11" s="2" t="s">
        <v>12</v>
      </c>
      <c r="C11" s="2" t="s">
        <v>265</v>
      </c>
      <c r="D11" s="2">
        <v>176</v>
      </c>
      <c r="E11" s="2">
        <v>17982</v>
      </c>
    </row>
    <row r="12" spans="1:5" ht="14.25" customHeight="1" x14ac:dyDescent="0.25">
      <c r="A12" s="4" t="s">
        <v>266</v>
      </c>
      <c r="B12" s="2" t="s">
        <v>6</v>
      </c>
      <c r="C12" s="2" t="s">
        <v>258</v>
      </c>
      <c r="D12" s="2">
        <v>90</v>
      </c>
      <c r="E12" s="2">
        <v>23911</v>
      </c>
    </row>
    <row r="13" spans="1:5" ht="14.25" customHeight="1" x14ac:dyDescent="0.25">
      <c r="A13" s="4" t="s">
        <v>267</v>
      </c>
      <c r="B13" s="2" t="s">
        <v>8</v>
      </c>
      <c r="C13" s="2" t="s">
        <v>268</v>
      </c>
      <c r="D13" s="2">
        <v>37</v>
      </c>
      <c r="E13" s="2">
        <v>47266</v>
      </c>
    </row>
    <row r="14" spans="1:5" ht="14.25" customHeight="1" x14ac:dyDescent="0.25">
      <c r="A14" s="4" t="s">
        <v>269</v>
      </c>
      <c r="B14" s="2" t="s">
        <v>255</v>
      </c>
      <c r="C14" s="2" t="s">
        <v>258</v>
      </c>
      <c r="D14" s="2">
        <v>176</v>
      </c>
      <c r="E14" s="2">
        <v>13761</v>
      </c>
    </row>
    <row r="15" spans="1:5" ht="14.25" customHeight="1" x14ac:dyDescent="0.25">
      <c r="A15" s="4" t="s">
        <v>270</v>
      </c>
      <c r="B15" s="2" t="s">
        <v>6</v>
      </c>
      <c r="C15" s="2" t="s">
        <v>258</v>
      </c>
      <c r="D15" s="2">
        <v>284</v>
      </c>
      <c r="E15" s="2">
        <v>3593</v>
      </c>
    </row>
    <row r="16" spans="1:5" ht="14.25" customHeight="1" x14ac:dyDescent="0.25">
      <c r="A16" s="4" t="s">
        <v>271</v>
      </c>
      <c r="B16" s="2" t="s">
        <v>248</v>
      </c>
      <c r="C16" s="2" t="s">
        <v>265</v>
      </c>
      <c r="D16" s="2">
        <v>81</v>
      </c>
      <c r="E16" s="2">
        <v>12222</v>
      </c>
    </row>
    <row r="17" spans="1:5" ht="14.25" customHeight="1" x14ac:dyDescent="0.25">
      <c r="A17" s="4" t="s">
        <v>272</v>
      </c>
      <c r="B17" s="2" t="s">
        <v>8</v>
      </c>
      <c r="C17" s="2" t="s">
        <v>268</v>
      </c>
      <c r="D17" s="2">
        <v>114</v>
      </c>
      <c r="E17" s="2">
        <v>22542</v>
      </c>
    </row>
    <row r="18" spans="1:5" ht="14.25" customHeight="1" x14ac:dyDescent="0.25">
      <c r="A18" s="4" t="s">
        <v>273</v>
      </c>
      <c r="B18" s="2" t="s">
        <v>8</v>
      </c>
      <c r="C18" s="2" t="s">
        <v>265</v>
      </c>
      <c r="D18" s="2">
        <v>40</v>
      </c>
      <c r="E18" s="2">
        <v>44913</v>
      </c>
    </row>
    <row r="19" spans="1:5" ht="14.25" customHeight="1" x14ac:dyDescent="0.25">
      <c r="A19" s="4" t="s">
        <v>274</v>
      </c>
      <c r="B19" s="2" t="s">
        <v>251</v>
      </c>
      <c r="C19" s="2" t="s">
        <v>268</v>
      </c>
      <c r="D19" s="2">
        <v>224</v>
      </c>
      <c r="E19" s="2">
        <v>48351</v>
      </c>
    </row>
    <row r="20" spans="1:5" ht="14.25" customHeight="1" x14ac:dyDescent="0.25">
      <c r="A20" s="4" t="s">
        <v>275</v>
      </c>
      <c r="B20" s="2" t="s">
        <v>12</v>
      </c>
      <c r="C20" s="2" t="s">
        <v>252</v>
      </c>
      <c r="D20" s="2">
        <v>115</v>
      </c>
      <c r="E20" s="2">
        <v>28587</v>
      </c>
    </row>
    <row r="21" spans="1:5" ht="14.25" customHeight="1" x14ac:dyDescent="0.25">
      <c r="A21" s="4" t="s">
        <v>276</v>
      </c>
      <c r="B21" s="2" t="s">
        <v>12</v>
      </c>
      <c r="C21" s="2" t="s">
        <v>268</v>
      </c>
      <c r="D21" s="2">
        <v>186</v>
      </c>
      <c r="E21" s="2">
        <v>32847</v>
      </c>
    </row>
    <row r="22" spans="1:5" ht="14.25" customHeight="1" x14ac:dyDescent="0.25">
      <c r="A22" s="4" t="s">
        <v>277</v>
      </c>
      <c r="B22" s="2" t="s">
        <v>8</v>
      </c>
      <c r="C22" s="2" t="s">
        <v>265</v>
      </c>
      <c r="D22" s="2">
        <v>56</v>
      </c>
      <c r="E22" s="2">
        <v>34256</v>
      </c>
    </row>
    <row r="23" spans="1:5" ht="14.25" customHeight="1" x14ac:dyDescent="0.25">
      <c r="A23" s="4" t="s">
        <v>278</v>
      </c>
      <c r="B23" s="2" t="s">
        <v>251</v>
      </c>
      <c r="C23" s="2" t="s">
        <v>258</v>
      </c>
      <c r="D23" s="2">
        <v>40</v>
      </c>
      <c r="E23" s="2">
        <v>39714</v>
      </c>
    </row>
    <row r="24" spans="1:5" ht="14.25" customHeight="1" x14ac:dyDescent="0.25">
      <c r="A24" s="4" t="s">
        <v>279</v>
      </c>
      <c r="B24" s="2" t="s">
        <v>255</v>
      </c>
      <c r="C24" s="2" t="s">
        <v>268</v>
      </c>
      <c r="D24" s="2">
        <v>40</v>
      </c>
      <c r="E24" s="2">
        <v>16835</v>
      </c>
    </row>
    <row r="25" spans="1:5" ht="14.25" customHeight="1" x14ac:dyDescent="0.25">
      <c r="A25" s="4" t="s">
        <v>280</v>
      </c>
      <c r="B25" s="2" t="s">
        <v>8</v>
      </c>
      <c r="C25" s="2" t="s">
        <v>268</v>
      </c>
      <c r="D25" s="2">
        <v>237</v>
      </c>
      <c r="E25" s="2">
        <v>29102</v>
      </c>
    </row>
    <row r="26" spans="1:5" ht="14.25" customHeight="1" x14ac:dyDescent="0.25">
      <c r="A26" s="4" t="s">
        <v>281</v>
      </c>
      <c r="B26" s="2" t="s">
        <v>282</v>
      </c>
      <c r="C26" s="2" t="s">
        <v>249</v>
      </c>
      <c r="D26" s="2">
        <v>289</v>
      </c>
      <c r="E26" s="2">
        <v>49401</v>
      </c>
    </row>
    <row r="27" spans="1:5" ht="14.25" customHeight="1" x14ac:dyDescent="0.25">
      <c r="A27" s="4" t="s">
        <v>283</v>
      </c>
      <c r="B27" s="2" t="s">
        <v>261</v>
      </c>
      <c r="C27" s="2" t="s">
        <v>258</v>
      </c>
      <c r="D27" s="2">
        <v>262</v>
      </c>
      <c r="E27" s="2">
        <v>34950</v>
      </c>
    </row>
    <row r="28" spans="1:5" ht="14.25" customHeight="1" x14ac:dyDescent="0.25">
      <c r="A28" s="4" t="s">
        <v>284</v>
      </c>
      <c r="B28" s="2" t="s">
        <v>261</v>
      </c>
      <c r="C28" s="2" t="s">
        <v>252</v>
      </c>
      <c r="D28" s="2">
        <v>216</v>
      </c>
      <c r="E28" s="2">
        <v>32696</v>
      </c>
    </row>
    <row r="29" spans="1:5" ht="14.25" customHeight="1" x14ac:dyDescent="0.25">
      <c r="A29" s="4" t="s">
        <v>285</v>
      </c>
      <c r="B29" s="2" t="s">
        <v>6</v>
      </c>
      <c r="C29" s="2" t="s">
        <v>265</v>
      </c>
      <c r="D29" s="2">
        <v>147</v>
      </c>
      <c r="E29" s="2">
        <v>6126</v>
      </c>
    </row>
    <row r="30" spans="1:5" ht="14.25" customHeight="1" x14ac:dyDescent="0.25">
      <c r="A30" s="4" t="s">
        <v>286</v>
      </c>
      <c r="B30" s="2" t="s">
        <v>248</v>
      </c>
      <c r="C30" s="2" t="s">
        <v>252</v>
      </c>
      <c r="D30" s="2">
        <v>168</v>
      </c>
      <c r="E30" s="2">
        <v>7924</v>
      </c>
    </row>
    <row r="31" spans="1:5" ht="14.25" customHeight="1" x14ac:dyDescent="0.25">
      <c r="A31" s="4" t="s">
        <v>287</v>
      </c>
      <c r="B31" s="2" t="s">
        <v>261</v>
      </c>
      <c r="C31" s="2" t="s">
        <v>258</v>
      </c>
      <c r="D31" s="2">
        <v>92</v>
      </c>
      <c r="E31" s="2">
        <v>13357</v>
      </c>
    </row>
    <row r="32" spans="1:5" ht="14.25" customHeight="1" x14ac:dyDescent="0.25">
      <c r="A32" s="4" t="s">
        <v>288</v>
      </c>
      <c r="B32" s="2" t="s">
        <v>289</v>
      </c>
      <c r="C32" s="2" t="s">
        <v>268</v>
      </c>
      <c r="D32" s="2">
        <v>59</v>
      </c>
      <c r="E32" s="2">
        <v>45423</v>
      </c>
    </row>
    <row r="33" spans="1:5" ht="14.25" customHeight="1" x14ac:dyDescent="0.25">
      <c r="A33" s="4" t="s">
        <v>290</v>
      </c>
      <c r="B33" s="2" t="s">
        <v>6</v>
      </c>
      <c r="C33" s="2" t="s">
        <v>268</v>
      </c>
      <c r="D33" s="2">
        <v>59</v>
      </c>
      <c r="E33" s="2">
        <v>20482</v>
      </c>
    </row>
    <row r="34" spans="1:5" ht="14.25" customHeight="1" x14ac:dyDescent="0.25">
      <c r="A34" s="4" t="s">
        <v>291</v>
      </c>
      <c r="B34" s="2" t="s">
        <v>261</v>
      </c>
      <c r="C34" s="2" t="s">
        <v>258</v>
      </c>
      <c r="D34" s="2">
        <v>169</v>
      </c>
      <c r="E34" s="2">
        <v>11925</v>
      </c>
    </row>
    <row r="35" spans="1:5" ht="14.25" customHeight="1" x14ac:dyDescent="0.25">
      <c r="A35" s="4" t="s">
        <v>292</v>
      </c>
      <c r="B35" s="2" t="s">
        <v>248</v>
      </c>
      <c r="C35" s="2" t="s">
        <v>268</v>
      </c>
      <c r="D35" s="2">
        <v>269</v>
      </c>
      <c r="E35" s="2">
        <v>2480</v>
      </c>
    </row>
    <row r="36" spans="1:5" ht="14.25" customHeight="1" x14ac:dyDescent="0.25">
      <c r="A36" s="4" t="s">
        <v>293</v>
      </c>
      <c r="B36" s="2" t="s">
        <v>12</v>
      </c>
      <c r="C36" s="2" t="s">
        <v>268</v>
      </c>
      <c r="D36" s="2">
        <v>45</v>
      </c>
      <c r="E36" s="2">
        <v>48790</v>
      </c>
    </row>
    <row r="37" spans="1:5" ht="14.25" customHeight="1" x14ac:dyDescent="0.25">
      <c r="A37" s="4" t="s">
        <v>294</v>
      </c>
      <c r="B37" s="2" t="s">
        <v>12</v>
      </c>
      <c r="C37" s="2" t="s">
        <v>268</v>
      </c>
      <c r="D37" s="2">
        <v>181</v>
      </c>
      <c r="E37" s="2">
        <v>26931</v>
      </c>
    </row>
    <row r="38" spans="1:5" ht="14.25" customHeight="1" x14ac:dyDescent="0.25">
      <c r="A38" s="4" t="s">
        <v>295</v>
      </c>
      <c r="B38" s="2" t="s">
        <v>255</v>
      </c>
      <c r="C38" s="2" t="s">
        <v>265</v>
      </c>
      <c r="D38" s="2">
        <v>170</v>
      </c>
      <c r="E38" s="2">
        <v>19940</v>
      </c>
    </row>
    <row r="39" spans="1:5" ht="14.25" customHeight="1" x14ac:dyDescent="0.25">
      <c r="A39" s="4" t="s">
        <v>296</v>
      </c>
      <c r="B39" s="2" t="s">
        <v>8</v>
      </c>
      <c r="C39" s="2" t="s">
        <v>265</v>
      </c>
      <c r="D39" s="2">
        <v>191</v>
      </c>
      <c r="E39" s="2">
        <v>42252</v>
      </c>
    </row>
    <row r="40" spans="1:5" ht="14.25" customHeight="1" x14ac:dyDescent="0.25">
      <c r="A40" s="4" t="s">
        <v>297</v>
      </c>
      <c r="B40" s="2" t="s">
        <v>282</v>
      </c>
      <c r="C40" s="2" t="s">
        <v>249</v>
      </c>
      <c r="D40" s="2">
        <v>155</v>
      </c>
      <c r="E40" s="2">
        <v>17675</v>
      </c>
    </row>
    <row r="41" spans="1:5" ht="14.25" customHeight="1" x14ac:dyDescent="0.25">
      <c r="A41" s="4" t="s">
        <v>298</v>
      </c>
      <c r="B41" s="2" t="s">
        <v>12</v>
      </c>
      <c r="C41" s="2" t="s">
        <v>252</v>
      </c>
      <c r="D41" s="2">
        <v>188</v>
      </c>
      <c r="E41" s="2">
        <v>49151</v>
      </c>
    </row>
    <row r="42" spans="1:5" ht="14.25" customHeight="1" x14ac:dyDescent="0.25">
      <c r="A42" s="4" t="s">
        <v>299</v>
      </c>
      <c r="B42" s="2" t="s">
        <v>251</v>
      </c>
      <c r="C42" s="2" t="s">
        <v>258</v>
      </c>
      <c r="D42" s="2">
        <v>7</v>
      </c>
      <c r="E42" s="2">
        <v>26885</v>
      </c>
    </row>
    <row r="43" spans="1:5" ht="14.25" customHeight="1" x14ac:dyDescent="0.25">
      <c r="A43" s="4" t="s">
        <v>300</v>
      </c>
      <c r="B43" s="2" t="s">
        <v>261</v>
      </c>
      <c r="C43" s="2" t="s">
        <v>258</v>
      </c>
      <c r="D43" s="2">
        <v>133</v>
      </c>
      <c r="E43" s="2">
        <v>38658</v>
      </c>
    </row>
    <row r="44" spans="1:5" ht="14.25" customHeight="1" x14ac:dyDescent="0.25">
      <c r="A44" s="4" t="s">
        <v>301</v>
      </c>
      <c r="B44" s="2" t="s">
        <v>251</v>
      </c>
      <c r="C44" s="2" t="s">
        <v>258</v>
      </c>
      <c r="D44" s="2">
        <v>235</v>
      </c>
      <c r="E44" s="2">
        <v>23519</v>
      </c>
    </row>
    <row r="45" spans="1:5" ht="14.25" customHeight="1" x14ac:dyDescent="0.25">
      <c r="A45" s="4" t="s">
        <v>302</v>
      </c>
      <c r="B45" s="2" t="s">
        <v>248</v>
      </c>
      <c r="C45" s="2" t="s">
        <v>249</v>
      </c>
      <c r="D45" s="2">
        <v>45</v>
      </c>
      <c r="E45" s="2">
        <v>19139</v>
      </c>
    </row>
    <row r="46" spans="1:5" ht="14.25" customHeight="1" x14ac:dyDescent="0.25">
      <c r="A46" s="4" t="s">
        <v>303</v>
      </c>
      <c r="B46" s="2" t="s">
        <v>12</v>
      </c>
      <c r="C46" s="2" t="s">
        <v>265</v>
      </c>
      <c r="D46" s="2">
        <v>249</v>
      </c>
      <c r="E46" s="2">
        <v>20494</v>
      </c>
    </row>
    <row r="47" spans="1:5" ht="14.25" customHeight="1" x14ac:dyDescent="0.25">
      <c r="A47" s="4" t="s">
        <v>304</v>
      </c>
      <c r="B47" s="2" t="s">
        <v>282</v>
      </c>
      <c r="C47" s="2" t="s">
        <v>249</v>
      </c>
      <c r="D47" s="2">
        <v>31</v>
      </c>
      <c r="E47" s="2">
        <v>34875</v>
      </c>
    </row>
    <row r="48" spans="1:5" ht="14.25" customHeight="1" x14ac:dyDescent="0.25">
      <c r="A48" s="4" t="s">
        <v>305</v>
      </c>
      <c r="B48" s="2" t="s">
        <v>248</v>
      </c>
      <c r="C48" s="2" t="s">
        <v>258</v>
      </c>
      <c r="D48" s="2">
        <v>23</v>
      </c>
      <c r="E48" s="2">
        <v>22063</v>
      </c>
    </row>
    <row r="49" spans="1:5" ht="14.25" customHeight="1" x14ac:dyDescent="0.25">
      <c r="A49" s="4" t="s">
        <v>306</v>
      </c>
      <c r="B49" s="2" t="s">
        <v>289</v>
      </c>
      <c r="C49" s="2" t="s">
        <v>252</v>
      </c>
      <c r="D49" s="2">
        <v>160</v>
      </c>
      <c r="E49" s="2">
        <v>39841</v>
      </c>
    </row>
    <row r="50" spans="1:5" ht="14.25" customHeight="1" x14ac:dyDescent="0.25">
      <c r="A50" s="4" t="s">
        <v>307</v>
      </c>
      <c r="B50" s="2" t="s">
        <v>289</v>
      </c>
      <c r="C50" s="2" t="s">
        <v>268</v>
      </c>
      <c r="D50" s="2">
        <v>158</v>
      </c>
      <c r="E50" s="2">
        <v>6276</v>
      </c>
    </row>
    <row r="51" spans="1:5" ht="14.25" customHeight="1" x14ac:dyDescent="0.25">
      <c r="A51" s="4" t="s">
        <v>308</v>
      </c>
      <c r="B51" s="2" t="s">
        <v>251</v>
      </c>
      <c r="C51" s="2" t="s">
        <v>265</v>
      </c>
      <c r="D51" s="2">
        <v>39</v>
      </c>
      <c r="E51" s="2">
        <v>36944</v>
      </c>
    </row>
    <row r="52" spans="1:5" ht="14.25" customHeight="1" x14ac:dyDescent="0.25">
      <c r="A52" s="4" t="s">
        <v>309</v>
      </c>
      <c r="B52" s="2" t="s">
        <v>8</v>
      </c>
      <c r="C52" s="2" t="s">
        <v>265</v>
      </c>
      <c r="D52" s="2">
        <v>82</v>
      </c>
      <c r="E52" s="2">
        <v>3880</v>
      </c>
    </row>
    <row r="53" spans="1:5" ht="14.25" customHeight="1" x14ac:dyDescent="0.25">
      <c r="A53" s="4" t="s">
        <v>310</v>
      </c>
      <c r="B53" s="2" t="s">
        <v>6</v>
      </c>
      <c r="C53" s="2" t="s">
        <v>249</v>
      </c>
      <c r="D53" s="2">
        <v>258</v>
      </c>
      <c r="E53" s="2">
        <v>9211</v>
      </c>
    </row>
    <row r="54" spans="1:5" ht="14.25" customHeight="1" x14ac:dyDescent="0.25">
      <c r="A54" s="4" t="s">
        <v>311</v>
      </c>
      <c r="B54" s="2" t="s">
        <v>8</v>
      </c>
      <c r="C54" s="2" t="s">
        <v>265</v>
      </c>
      <c r="D54" s="2">
        <v>206</v>
      </c>
      <c r="E54" s="2">
        <v>9282</v>
      </c>
    </row>
    <row r="55" spans="1:5" ht="14.25" customHeight="1" x14ac:dyDescent="0.25">
      <c r="A55" s="4" t="s">
        <v>312</v>
      </c>
      <c r="B55" s="2" t="s">
        <v>255</v>
      </c>
      <c r="C55" s="2" t="s">
        <v>258</v>
      </c>
      <c r="D55" s="2">
        <v>77</v>
      </c>
      <c r="E55" s="2">
        <v>17934</v>
      </c>
    </row>
    <row r="56" spans="1:5" ht="14.25" customHeight="1" x14ac:dyDescent="0.25">
      <c r="A56" s="4" t="s">
        <v>313</v>
      </c>
      <c r="B56" s="2" t="s">
        <v>8</v>
      </c>
      <c r="C56" s="2" t="s">
        <v>258</v>
      </c>
      <c r="D56" s="2">
        <v>12</v>
      </c>
      <c r="E56" s="2">
        <v>47265</v>
      </c>
    </row>
    <row r="57" spans="1:5" ht="14.25" customHeight="1" x14ac:dyDescent="0.25">
      <c r="A57" s="4" t="s">
        <v>314</v>
      </c>
      <c r="B57" s="2" t="s">
        <v>255</v>
      </c>
      <c r="C57" s="2" t="s">
        <v>249</v>
      </c>
      <c r="D57" s="2">
        <v>295</v>
      </c>
      <c r="E57" s="2">
        <v>20517</v>
      </c>
    </row>
    <row r="58" spans="1:5" ht="14.25" customHeight="1" x14ac:dyDescent="0.25">
      <c r="A58" s="4" t="s">
        <v>315</v>
      </c>
      <c r="B58" s="2" t="s">
        <v>255</v>
      </c>
      <c r="C58" s="2" t="s">
        <v>258</v>
      </c>
      <c r="D58" s="2">
        <v>224</v>
      </c>
      <c r="E58" s="2">
        <v>31207</v>
      </c>
    </row>
    <row r="59" spans="1:5" ht="14.25" customHeight="1" x14ac:dyDescent="0.25">
      <c r="A59" s="4" t="s">
        <v>316</v>
      </c>
      <c r="B59" s="2" t="s">
        <v>282</v>
      </c>
      <c r="C59" s="2" t="s">
        <v>252</v>
      </c>
      <c r="D59" s="2">
        <v>13</v>
      </c>
      <c r="E59" s="2">
        <v>39610</v>
      </c>
    </row>
    <row r="60" spans="1:5" ht="14.25" customHeight="1" x14ac:dyDescent="0.25">
      <c r="A60" s="4" t="s">
        <v>317</v>
      </c>
      <c r="B60" s="2" t="s">
        <v>12</v>
      </c>
      <c r="C60" s="2" t="s">
        <v>249</v>
      </c>
      <c r="D60" s="2">
        <v>46</v>
      </c>
      <c r="E60" s="2">
        <v>17843</v>
      </c>
    </row>
    <row r="61" spans="1:5" ht="14.25" customHeight="1" x14ac:dyDescent="0.25">
      <c r="A61" s="4" t="s">
        <v>318</v>
      </c>
      <c r="B61" s="2" t="s">
        <v>282</v>
      </c>
      <c r="C61" s="2" t="s">
        <v>252</v>
      </c>
      <c r="D61" s="2">
        <v>155</v>
      </c>
      <c r="E61" s="2">
        <v>39327</v>
      </c>
    </row>
    <row r="62" spans="1:5" ht="14.25" customHeight="1" x14ac:dyDescent="0.25">
      <c r="A62" s="4" t="s">
        <v>319</v>
      </c>
      <c r="B62" s="2" t="s">
        <v>255</v>
      </c>
      <c r="C62" s="2" t="s">
        <v>268</v>
      </c>
      <c r="D62" s="2">
        <v>113</v>
      </c>
      <c r="E62" s="2">
        <v>42152</v>
      </c>
    </row>
    <row r="63" spans="1:5" ht="14.25" customHeight="1" x14ac:dyDescent="0.25">
      <c r="A63" s="4" t="s">
        <v>320</v>
      </c>
      <c r="B63" s="2" t="s">
        <v>248</v>
      </c>
      <c r="C63" s="2" t="s">
        <v>252</v>
      </c>
      <c r="D63" s="2">
        <v>233</v>
      </c>
      <c r="E63" s="2">
        <v>6155</v>
      </c>
    </row>
    <row r="64" spans="1:5" ht="14.25" customHeight="1" x14ac:dyDescent="0.25">
      <c r="A64" s="4" t="s">
        <v>321</v>
      </c>
      <c r="B64" s="2" t="s">
        <v>289</v>
      </c>
      <c r="C64" s="2" t="s">
        <v>268</v>
      </c>
      <c r="D64" s="2">
        <v>17</v>
      </c>
      <c r="E64" s="2">
        <v>45359</v>
      </c>
    </row>
    <row r="65" spans="1:5" ht="14.25" customHeight="1" x14ac:dyDescent="0.25">
      <c r="A65" s="4" t="s">
        <v>322</v>
      </c>
      <c r="B65" s="2" t="s">
        <v>255</v>
      </c>
      <c r="C65" s="2" t="s">
        <v>268</v>
      </c>
      <c r="D65" s="2">
        <v>223</v>
      </c>
      <c r="E65" s="2">
        <v>15751</v>
      </c>
    </row>
    <row r="66" spans="1:5" ht="14.25" customHeight="1" x14ac:dyDescent="0.25">
      <c r="A66" s="4" t="s">
        <v>323</v>
      </c>
      <c r="B66" s="2" t="s">
        <v>282</v>
      </c>
      <c r="C66" s="2" t="s">
        <v>252</v>
      </c>
      <c r="D66" s="2">
        <v>188</v>
      </c>
      <c r="E66" s="2">
        <v>1026</v>
      </c>
    </row>
    <row r="67" spans="1:5" ht="14.25" customHeight="1" x14ac:dyDescent="0.25">
      <c r="A67" s="4" t="s">
        <v>324</v>
      </c>
      <c r="B67" s="2" t="s">
        <v>248</v>
      </c>
      <c r="C67" s="2" t="s">
        <v>249</v>
      </c>
      <c r="D67" s="2">
        <v>163</v>
      </c>
      <c r="E67" s="2">
        <v>3724</v>
      </c>
    </row>
    <row r="68" spans="1:5" ht="14.25" customHeight="1" x14ac:dyDescent="0.25">
      <c r="A68" s="4" t="s">
        <v>325</v>
      </c>
      <c r="B68" s="2" t="s">
        <v>282</v>
      </c>
      <c r="C68" s="2" t="s">
        <v>258</v>
      </c>
      <c r="D68" s="2">
        <v>74</v>
      </c>
      <c r="E68" s="2">
        <v>48337</v>
      </c>
    </row>
    <row r="69" spans="1:5" ht="14.25" customHeight="1" x14ac:dyDescent="0.25">
      <c r="A69" s="4" t="s">
        <v>326</v>
      </c>
      <c r="B69" s="2" t="s">
        <v>8</v>
      </c>
      <c r="C69" s="2" t="s">
        <v>258</v>
      </c>
      <c r="D69" s="2">
        <v>233</v>
      </c>
      <c r="E69" s="2">
        <v>12036</v>
      </c>
    </row>
    <row r="70" spans="1:5" ht="14.25" customHeight="1" x14ac:dyDescent="0.25">
      <c r="A70" s="4" t="s">
        <v>327</v>
      </c>
      <c r="B70" s="2" t="s">
        <v>261</v>
      </c>
      <c r="C70" s="2" t="s">
        <v>268</v>
      </c>
      <c r="D70" s="2">
        <v>224</v>
      </c>
      <c r="E70" s="2">
        <v>29041</v>
      </c>
    </row>
    <row r="71" spans="1:5" ht="14.25" customHeight="1" x14ac:dyDescent="0.25">
      <c r="A71" s="4" t="s">
        <v>328</v>
      </c>
      <c r="B71" s="2" t="s">
        <v>251</v>
      </c>
      <c r="C71" s="2" t="s">
        <v>268</v>
      </c>
      <c r="D71" s="2">
        <v>60</v>
      </c>
      <c r="E71" s="2">
        <v>14047</v>
      </c>
    </row>
    <row r="72" spans="1:5" ht="14.25" customHeight="1" x14ac:dyDescent="0.25">
      <c r="A72" s="4" t="s">
        <v>329</v>
      </c>
      <c r="B72" s="2" t="s">
        <v>6</v>
      </c>
      <c r="C72" s="2" t="s">
        <v>249</v>
      </c>
      <c r="D72" s="2">
        <v>222</v>
      </c>
      <c r="E72" s="2">
        <v>35031</v>
      </c>
    </row>
    <row r="73" spans="1:5" ht="14.25" customHeight="1" x14ac:dyDescent="0.25">
      <c r="A73" s="4" t="s">
        <v>330</v>
      </c>
      <c r="B73" s="2" t="s">
        <v>282</v>
      </c>
      <c r="C73" s="2" t="s">
        <v>265</v>
      </c>
      <c r="D73" s="2">
        <v>37</v>
      </c>
      <c r="E73" s="2">
        <v>9212</v>
      </c>
    </row>
    <row r="74" spans="1:5" ht="14.25" customHeight="1" x14ac:dyDescent="0.25">
      <c r="A74" s="4" t="s">
        <v>331</v>
      </c>
      <c r="B74" s="2" t="s">
        <v>6</v>
      </c>
      <c r="C74" s="2" t="s">
        <v>252</v>
      </c>
      <c r="D74" s="2">
        <v>278</v>
      </c>
      <c r="E74" s="2">
        <v>39065</v>
      </c>
    </row>
    <row r="75" spans="1:5" ht="14.25" customHeight="1" x14ac:dyDescent="0.25">
      <c r="A75" s="4" t="s">
        <v>332</v>
      </c>
      <c r="B75" s="2" t="s">
        <v>257</v>
      </c>
      <c r="C75" s="2" t="s">
        <v>268</v>
      </c>
      <c r="D75" s="2">
        <v>196</v>
      </c>
      <c r="E75" s="2">
        <v>9708</v>
      </c>
    </row>
    <row r="76" spans="1:5" ht="14.25" customHeight="1" x14ac:dyDescent="0.25">
      <c r="A76" s="4" t="s">
        <v>333</v>
      </c>
      <c r="B76" s="2" t="s">
        <v>282</v>
      </c>
      <c r="C76" s="2" t="s">
        <v>258</v>
      </c>
      <c r="D76" s="2">
        <v>242</v>
      </c>
      <c r="E76" s="2">
        <v>5609</v>
      </c>
    </row>
    <row r="77" spans="1:5" ht="14.25" customHeight="1" x14ac:dyDescent="0.25">
      <c r="A77" s="4" t="s">
        <v>334</v>
      </c>
      <c r="B77" s="2" t="s">
        <v>261</v>
      </c>
      <c r="C77" s="2" t="s">
        <v>249</v>
      </c>
      <c r="D77" s="2">
        <v>219</v>
      </c>
      <c r="E77" s="2">
        <v>49768</v>
      </c>
    </row>
    <row r="78" spans="1:5" ht="14.25" customHeight="1" x14ac:dyDescent="0.25">
      <c r="A78" s="4" t="s">
        <v>335</v>
      </c>
      <c r="B78" s="2" t="s">
        <v>6</v>
      </c>
      <c r="C78" s="2" t="s">
        <v>252</v>
      </c>
      <c r="D78" s="2">
        <v>192</v>
      </c>
      <c r="E78" s="2">
        <v>35701</v>
      </c>
    </row>
    <row r="79" spans="1:5" ht="14.25" customHeight="1" x14ac:dyDescent="0.25">
      <c r="A79" s="4" t="s">
        <v>336</v>
      </c>
      <c r="B79" s="2" t="s">
        <v>255</v>
      </c>
      <c r="C79" s="2" t="s">
        <v>249</v>
      </c>
      <c r="D79" s="2">
        <v>17</v>
      </c>
      <c r="E79" s="2">
        <v>17467</v>
      </c>
    </row>
    <row r="80" spans="1:5" ht="14.25" customHeight="1" x14ac:dyDescent="0.25">
      <c r="A80" s="4" t="s">
        <v>337</v>
      </c>
      <c r="B80" s="2" t="s">
        <v>282</v>
      </c>
      <c r="C80" s="2" t="s">
        <v>252</v>
      </c>
      <c r="D80" s="2">
        <v>12</v>
      </c>
      <c r="E80" s="2">
        <v>30259</v>
      </c>
    </row>
    <row r="81" spans="1:5" ht="14.25" customHeight="1" x14ac:dyDescent="0.25">
      <c r="A81" s="4" t="s">
        <v>338</v>
      </c>
      <c r="B81" s="2" t="s">
        <v>12</v>
      </c>
      <c r="C81" s="2" t="s">
        <v>252</v>
      </c>
      <c r="D81" s="2">
        <v>193</v>
      </c>
      <c r="E81" s="2">
        <v>20672</v>
      </c>
    </row>
    <row r="82" spans="1:5" ht="14.25" customHeight="1" x14ac:dyDescent="0.25">
      <c r="A82" s="4" t="s">
        <v>339</v>
      </c>
      <c r="B82" s="2" t="s">
        <v>251</v>
      </c>
      <c r="C82" s="2" t="s">
        <v>268</v>
      </c>
      <c r="D82" s="2">
        <v>22</v>
      </c>
      <c r="E82" s="2">
        <v>37435</v>
      </c>
    </row>
    <row r="83" spans="1:5" ht="14.25" customHeight="1" x14ac:dyDescent="0.25">
      <c r="A83" s="4" t="s">
        <v>340</v>
      </c>
      <c r="B83" s="2" t="s">
        <v>261</v>
      </c>
      <c r="C83" s="2" t="s">
        <v>249</v>
      </c>
      <c r="D83" s="2">
        <v>120</v>
      </c>
      <c r="E83" s="2">
        <v>27089</v>
      </c>
    </row>
    <row r="84" spans="1:5" ht="14.25" customHeight="1" x14ac:dyDescent="0.25">
      <c r="A84" s="4" t="s">
        <v>341</v>
      </c>
      <c r="B84" s="2" t="s">
        <v>6</v>
      </c>
      <c r="C84" s="2" t="s">
        <v>249</v>
      </c>
      <c r="D84" s="2">
        <v>210</v>
      </c>
      <c r="E84" s="2">
        <v>30515</v>
      </c>
    </row>
    <row r="85" spans="1:5" ht="14.25" customHeight="1" x14ac:dyDescent="0.25">
      <c r="A85" s="4" t="s">
        <v>342</v>
      </c>
      <c r="B85" s="2" t="s">
        <v>261</v>
      </c>
      <c r="C85" s="2" t="s">
        <v>258</v>
      </c>
      <c r="D85" s="2">
        <v>270</v>
      </c>
      <c r="E85" s="2">
        <v>29509</v>
      </c>
    </row>
    <row r="86" spans="1:5" ht="14.25" customHeight="1" x14ac:dyDescent="0.25">
      <c r="A86" s="4" t="s">
        <v>343</v>
      </c>
      <c r="B86" s="2" t="s">
        <v>248</v>
      </c>
      <c r="C86" s="2" t="s">
        <v>258</v>
      </c>
      <c r="D86" s="2">
        <v>192</v>
      </c>
      <c r="E86" s="2">
        <v>18273</v>
      </c>
    </row>
    <row r="87" spans="1:5" ht="14.25" customHeight="1" x14ac:dyDescent="0.25">
      <c r="A87" s="4" t="s">
        <v>344</v>
      </c>
      <c r="B87" s="2" t="s">
        <v>251</v>
      </c>
      <c r="C87" s="2" t="s">
        <v>268</v>
      </c>
      <c r="D87" s="2">
        <v>175</v>
      </c>
      <c r="E87" s="2">
        <v>41625</v>
      </c>
    </row>
    <row r="88" spans="1:5" ht="14.25" customHeight="1" x14ac:dyDescent="0.25">
      <c r="A88" s="4" t="s">
        <v>345</v>
      </c>
      <c r="B88" s="2" t="s">
        <v>255</v>
      </c>
      <c r="C88" s="2" t="s">
        <v>268</v>
      </c>
      <c r="D88" s="2">
        <v>285</v>
      </c>
      <c r="E88" s="2">
        <v>26643</v>
      </c>
    </row>
    <row r="89" spans="1:5" ht="14.25" customHeight="1" x14ac:dyDescent="0.25">
      <c r="A89" s="4" t="s">
        <v>346</v>
      </c>
      <c r="B89" s="2" t="s">
        <v>282</v>
      </c>
      <c r="C89" s="2" t="s">
        <v>265</v>
      </c>
      <c r="D89" s="2">
        <v>204</v>
      </c>
      <c r="E89" s="2">
        <v>6654</v>
      </c>
    </row>
    <row r="90" spans="1:5" ht="14.25" customHeight="1" x14ac:dyDescent="0.25">
      <c r="A90" s="4" t="s">
        <v>347</v>
      </c>
      <c r="B90" s="2" t="s">
        <v>282</v>
      </c>
      <c r="C90" s="2" t="s">
        <v>258</v>
      </c>
      <c r="D90" s="2">
        <v>164</v>
      </c>
      <c r="E90" s="2">
        <v>22304</v>
      </c>
    </row>
    <row r="91" spans="1:5" ht="14.25" customHeight="1" x14ac:dyDescent="0.25">
      <c r="A91" s="4" t="s">
        <v>348</v>
      </c>
      <c r="B91" s="2" t="s">
        <v>282</v>
      </c>
      <c r="C91" s="2" t="s">
        <v>252</v>
      </c>
      <c r="D91" s="2">
        <v>251</v>
      </c>
      <c r="E91" s="2">
        <v>42188</v>
      </c>
    </row>
    <row r="92" spans="1:5" ht="14.25" customHeight="1" x14ac:dyDescent="0.25">
      <c r="A92" s="4" t="s">
        <v>349</v>
      </c>
      <c r="B92" s="2" t="s">
        <v>251</v>
      </c>
      <c r="C92" s="2" t="s">
        <v>249</v>
      </c>
      <c r="D92" s="2">
        <v>227</v>
      </c>
      <c r="E92" s="2">
        <v>21081</v>
      </c>
    </row>
    <row r="93" spans="1:5" ht="14.25" customHeight="1" x14ac:dyDescent="0.25">
      <c r="A93" s="4" t="s">
        <v>350</v>
      </c>
      <c r="B93" s="2" t="s">
        <v>12</v>
      </c>
      <c r="C93" s="2" t="s">
        <v>268</v>
      </c>
      <c r="D93" s="2">
        <v>7</v>
      </c>
      <c r="E93" s="2">
        <v>30587</v>
      </c>
    </row>
    <row r="94" spans="1:5" ht="14.25" customHeight="1" x14ac:dyDescent="0.25">
      <c r="A94" s="4" t="s">
        <v>351</v>
      </c>
      <c r="B94" s="2" t="s">
        <v>257</v>
      </c>
      <c r="C94" s="2" t="s">
        <v>249</v>
      </c>
      <c r="D94" s="2">
        <v>29</v>
      </c>
      <c r="E94" s="2">
        <v>33481</v>
      </c>
    </row>
    <row r="95" spans="1:5" ht="14.25" customHeight="1" x14ac:dyDescent="0.25">
      <c r="A95" s="4" t="s">
        <v>352</v>
      </c>
      <c r="B95" s="2" t="s">
        <v>289</v>
      </c>
      <c r="C95" s="2" t="s">
        <v>249</v>
      </c>
      <c r="D95" s="2">
        <v>33</v>
      </c>
      <c r="E95" s="2">
        <v>4262</v>
      </c>
    </row>
    <row r="96" spans="1:5" ht="14.25" customHeight="1" x14ac:dyDescent="0.25">
      <c r="A96" s="4" t="s">
        <v>353</v>
      </c>
      <c r="B96" s="2" t="s">
        <v>8</v>
      </c>
      <c r="C96" s="2" t="s">
        <v>265</v>
      </c>
      <c r="D96" s="2">
        <v>134</v>
      </c>
      <c r="E96" s="2">
        <v>46667</v>
      </c>
    </row>
    <row r="97" spans="1:5" ht="14.25" customHeight="1" x14ac:dyDescent="0.25">
      <c r="A97" s="4" t="s">
        <v>354</v>
      </c>
      <c r="B97" s="2" t="s">
        <v>6</v>
      </c>
      <c r="C97" s="2" t="s">
        <v>258</v>
      </c>
      <c r="D97" s="2">
        <v>79</v>
      </c>
      <c r="E97" s="2">
        <v>10268</v>
      </c>
    </row>
    <row r="98" spans="1:5" ht="14.25" customHeight="1" x14ac:dyDescent="0.25">
      <c r="A98" s="4" t="s">
        <v>355</v>
      </c>
      <c r="B98" s="2" t="s">
        <v>12</v>
      </c>
      <c r="C98" s="2" t="s">
        <v>268</v>
      </c>
      <c r="D98" s="2">
        <v>58</v>
      </c>
      <c r="E98" s="2">
        <v>43908</v>
      </c>
    </row>
    <row r="99" spans="1:5" ht="14.25" customHeight="1" x14ac:dyDescent="0.25">
      <c r="A99" s="4" t="s">
        <v>356</v>
      </c>
      <c r="B99" s="2" t="s">
        <v>255</v>
      </c>
      <c r="C99" s="2" t="s">
        <v>249</v>
      </c>
      <c r="D99" s="2">
        <v>26</v>
      </c>
      <c r="E99" s="2">
        <v>39999</v>
      </c>
    </row>
    <row r="100" spans="1:5" ht="14.25" customHeight="1" x14ac:dyDescent="0.25">
      <c r="A100" s="4" t="s">
        <v>357</v>
      </c>
      <c r="B100" s="2" t="s">
        <v>6</v>
      </c>
      <c r="C100" s="2" t="s">
        <v>268</v>
      </c>
      <c r="D100" s="2">
        <v>226</v>
      </c>
      <c r="E100" s="2">
        <v>39059</v>
      </c>
    </row>
    <row r="101" spans="1:5" ht="14.25" customHeight="1" x14ac:dyDescent="0.25">
      <c r="A101" s="4" t="s">
        <v>358</v>
      </c>
      <c r="B101" s="2" t="s">
        <v>282</v>
      </c>
      <c r="C101" s="2" t="s">
        <v>252</v>
      </c>
      <c r="D101" s="2">
        <v>285</v>
      </c>
      <c r="E101" s="2">
        <v>49090</v>
      </c>
    </row>
    <row r="102" spans="1:5" ht="14.25" customHeight="1" x14ac:dyDescent="0.25"/>
    <row r="103" spans="1:5" ht="14.25" customHeight="1" x14ac:dyDescent="0.25"/>
    <row r="104" spans="1:5" ht="14.25" customHeight="1" x14ac:dyDescent="0.25"/>
    <row r="105" spans="1:5" ht="14.25" customHeight="1" x14ac:dyDescent="0.25"/>
    <row r="106" spans="1:5" ht="14.25" customHeight="1" x14ac:dyDescent="0.25"/>
    <row r="107" spans="1:5" ht="14.25" customHeight="1" x14ac:dyDescent="0.25"/>
    <row r="108" spans="1:5" ht="14.25" customHeight="1" x14ac:dyDescent="0.25"/>
    <row r="109" spans="1:5" ht="14.25" customHeight="1" x14ac:dyDescent="0.25"/>
    <row r="110" spans="1:5" ht="14.25" customHeight="1" x14ac:dyDescent="0.25"/>
    <row r="111" spans="1:5" ht="14.25" customHeight="1" x14ac:dyDescent="0.25"/>
    <row r="112" spans="1:5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" ht="14.25" customHeight="1" x14ac:dyDescent="0.25">
      <c r="A1" s="1" t="s">
        <v>359</v>
      </c>
      <c r="B1" s="1" t="s">
        <v>360</v>
      </c>
    </row>
    <row r="2" spans="1:2" ht="14.25" customHeight="1" x14ac:dyDescent="0.25">
      <c r="A2" s="1">
        <v>1</v>
      </c>
      <c r="B2" s="1" t="s">
        <v>421</v>
      </c>
    </row>
    <row r="3" spans="1:2" ht="14.25" customHeight="1" x14ac:dyDescent="0.25">
      <c r="A3" s="1">
        <v>2</v>
      </c>
      <c r="B3" s="1" t="s">
        <v>422</v>
      </c>
    </row>
    <row r="4" spans="1:2" ht="14.25" customHeight="1" x14ac:dyDescent="0.25">
      <c r="A4" s="1">
        <v>3</v>
      </c>
      <c r="B4" s="1" t="s">
        <v>363</v>
      </c>
    </row>
    <row r="5" spans="1:2" ht="14.25" customHeight="1" x14ac:dyDescent="0.25">
      <c r="A5" s="1">
        <v>4</v>
      </c>
      <c r="B5" s="1" t="s">
        <v>423</v>
      </c>
    </row>
    <row r="6" spans="1:2" ht="14.25" customHeight="1" x14ac:dyDescent="0.25">
      <c r="A6" s="1">
        <v>5</v>
      </c>
      <c r="B6" s="1" t="s">
        <v>424</v>
      </c>
    </row>
    <row r="7" spans="1:2" ht="14.25" customHeight="1" x14ac:dyDescent="0.25">
      <c r="A7" s="1">
        <v>6</v>
      </c>
      <c r="B7" s="1" t="s">
        <v>425</v>
      </c>
    </row>
    <row r="8" spans="1:2" ht="14.25" customHeight="1" x14ac:dyDescent="0.25">
      <c r="A8" s="1">
        <v>7</v>
      </c>
      <c r="B8" s="1" t="s">
        <v>426</v>
      </c>
    </row>
    <row r="9" spans="1:2" ht="14.25" customHeight="1" x14ac:dyDescent="0.25">
      <c r="A9" s="1">
        <v>8</v>
      </c>
      <c r="B9" s="1" t="s">
        <v>427</v>
      </c>
    </row>
    <row r="10" spans="1:2" ht="14.25" customHeight="1" x14ac:dyDescent="0.25">
      <c r="A10" s="1">
        <v>9</v>
      </c>
      <c r="B10" s="1" t="s">
        <v>428</v>
      </c>
    </row>
    <row r="11" spans="1:2" ht="14.25" customHeight="1" x14ac:dyDescent="0.25">
      <c r="A11" s="1">
        <v>10</v>
      </c>
      <c r="B11" s="1" t="s">
        <v>429</v>
      </c>
    </row>
    <row r="12" spans="1:2" ht="14.25" customHeight="1" x14ac:dyDescent="0.25">
      <c r="A12" s="1">
        <v>11</v>
      </c>
      <c r="B12" s="1" t="s">
        <v>430</v>
      </c>
    </row>
    <row r="13" spans="1:2" ht="14.25" customHeight="1" x14ac:dyDescent="0.25">
      <c r="A13" s="1">
        <v>12</v>
      </c>
      <c r="B13" s="1" t="s">
        <v>431</v>
      </c>
    </row>
    <row r="14" spans="1:2" ht="14.25" customHeight="1" x14ac:dyDescent="0.25">
      <c r="A14" s="1">
        <v>13</v>
      </c>
      <c r="B14" s="1" t="s">
        <v>432</v>
      </c>
    </row>
    <row r="15" spans="1:2" ht="14.25" customHeight="1" x14ac:dyDescent="0.25">
      <c r="A15" s="1">
        <v>14</v>
      </c>
      <c r="B15" s="1" t="s">
        <v>433</v>
      </c>
    </row>
    <row r="16" spans="1:2" ht="14.25" customHeight="1" x14ac:dyDescent="0.25">
      <c r="A16" s="1">
        <v>15</v>
      </c>
      <c r="B16" s="1" t="s">
        <v>434</v>
      </c>
    </row>
    <row r="17" spans="1:2" ht="14.25" customHeight="1" x14ac:dyDescent="0.25">
      <c r="A17" s="1">
        <v>16</v>
      </c>
      <c r="B17" s="1" t="s">
        <v>435</v>
      </c>
    </row>
    <row r="18" spans="1:2" ht="14.25" customHeight="1" x14ac:dyDescent="0.25">
      <c r="A18" s="1">
        <v>17</v>
      </c>
      <c r="B18" s="1" t="s">
        <v>436</v>
      </c>
    </row>
    <row r="19" spans="1:2" ht="14.25" customHeight="1" x14ac:dyDescent="0.25">
      <c r="A19" s="1">
        <v>18</v>
      </c>
      <c r="B19" s="1" t="s">
        <v>437</v>
      </c>
    </row>
    <row r="20" spans="1:2" ht="14.25" customHeight="1" x14ac:dyDescent="0.25">
      <c r="A20" s="1">
        <v>19</v>
      </c>
      <c r="B20" s="1" t="s">
        <v>438</v>
      </c>
    </row>
    <row r="21" spans="1:2" ht="14.25" customHeight="1" x14ac:dyDescent="0.25">
      <c r="A21" s="1">
        <v>20</v>
      </c>
      <c r="B21" s="1" t="s">
        <v>439</v>
      </c>
    </row>
    <row r="22" spans="1:2" ht="14.25" customHeight="1" x14ac:dyDescent="0.25"/>
    <row r="23" spans="1:2" ht="14.25" customHeight="1" x14ac:dyDescent="0.25"/>
    <row r="24" spans="1:2" ht="14.25" customHeight="1" x14ac:dyDescent="0.25"/>
    <row r="25" spans="1:2" ht="14.25" customHeight="1" x14ac:dyDescent="0.25"/>
    <row r="26" spans="1:2" ht="14.25" customHeight="1" x14ac:dyDescent="0.25"/>
    <row r="27" spans="1:2" ht="14.25" customHeight="1" x14ac:dyDescent="0.25"/>
    <row r="28" spans="1:2" ht="14.25" customHeight="1" x14ac:dyDescent="0.25"/>
    <row r="29" spans="1:2" ht="14.25" customHeight="1" x14ac:dyDescent="0.25"/>
    <row r="30" spans="1:2" ht="14.25" customHeight="1" x14ac:dyDescent="0.25"/>
    <row r="31" spans="1:2" ht="14.25" customHeight="1" x14ac:dyDescent="0.25"/>
    <row r="32" spans="1: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1D611FD3-FD84-49CB-81F3-90E7C0C199E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91BD4EB-C07B-4869-81DC-4193D941E000}">
  <ds:schemaRefs/>
</ds:datastoreItem>
</file>

<file path=customXml/itemProps3.xml><?xml version="1.0" encoding="utf-8"?>
<ds:datastoreItem xmlns:ds="http://schemas.openxmlformats.org/officeDocument/2006/customXml" ds:itemID="{C7AAF259-C2C5-4B97-8B70-39BDEEDED07B}">
  <ds:schemaRefs/>
</ds:datastoreItem>
</file>

<file path=customXml/itemProps4.xml><?xml version="1.0" encoding="utf-8"?>
<ds:datastoreItem xmlns:ds="http://schemas.openxmlformats.org/officeDocument/2006/customXml" ds:itemID="{CA8E07E5-5F35-425C-83D7-977BDAC18FE1}">
  <ds:schemaRefs/>
</ds:datastoreItem>
</file>

<file path=customXml/itemProps5.xml><?xml version="1.0" encoding="utf-8"?>
<ds:datastoreItem xmlns:ds="http://schemas.openxmlformats.org/officeDocument/2006/customXml" ds:itemID="{F695C25A-3D6C-48BA-AFA0-4ECA9B445C1C}">
  <ds:schemaRefs/>
</ds:datastoreItem>
</file>

<file path=customXml/itemProps6.xml><?xml version="1.0" encoding="utf-8"?>
<ds:datastoreItem xmlns:ds="http://schemas.openxmlformats.org/officeDocument/2006/customXml" ds:itemID="{9BCB77B4-DB44-4781-823A-4CB709B08982}">
  <ds:schemaRefs/>
</ds:datastoreItem>
</file>

<file path=customXml/itemProps7.xml><?xml version="1.0" encoding="utf-8"?>
<ds:datastoreItem xmlns:ds="http://schemas.openxmlformats.org/officeDocument/2006/customXml" ds:itemID="{723BC08E-5BE4-4933-A9B0-9EC5CF0A733D}">
  <ds:schemaRefs/>
</ds:datastoreItem>
</file>

<file path=customXml/itemProps8.xml><?xml version="1.0" encoding="utf-8"?>
<ds:datastoreItem xmlns:ds="http://schemas.openxmlformats.org/officeDocument/2006/customXml" ds:itemID="{AE40FE07-2BDC-4074-8CCA-7AE65C73FBF5}">
  <ds:schemaRefs/>
</ds:datastoreItem>
</file>

<file path=customXml/itemProps9.xml><?xml version="1.0" encoding="utf-8"?>
<ds:datastoreItem xmlns:ds="http://schemas.openxmlformats.org/officeDocument/2006/customXml" ds:itemID="{57E703A7-DF5C-47C1-9908-A4E2759116DD}">
  <ds:schemaRefs/>
</ds:datastoreItem>
</file>

<file path=customXml/itemProps10.xml><?xml version="1.0" encoding="utf-8"?>
<ds:datastoreItem xmlns:ds="http://schemas.openxmlformats.org/officeDocument/2006/customXml" ds:itemID="{68DF4E4B-6750-4BEC-8EB4-FEF3F1466049}">
  <ds:schemaRefs/>
</ds:datastoreItem>
</file>

<file path=customXml/itemProps11.xml><?xml version="1.0" encoding="utf-8"?>
<ds:datastoreItem xmlns:ds="http://schemas.openxmlformats.org/officeDocument/2006/customXml" ds:itemID="{028F44F8-2FA8-48B1-B34B-73158FDD31DF}">
  <ds:schemaRefs/>
</ds:datastoreItem>
</file>

<file path=customXml/itemProps12.xml><?xml version="1.0" encoding="utf-8"?>
<ds:datastoreItem xmlns:ds="http://schemas.openxmlformats.org/officeDocument/2006/customXml" ds:itemID="{D2873E12-F917-436D-B7FA-6B4F8E72F4AA}">
  <ds:schemaRefs/>
</ds:datastoreItem>
</file>

<file path=customXml/itemProps13.xml><?xml version="1.0" encoding="utf-8"?>
<ds:datastoreItem xmlns:ds="http://schemas.openxmlformats.org/officeDocument/2006/customXml" ds:itemID="{CD1D243D-C7CC-48C3-A017-E94A9C3C0226}">
  <ds:schemaRefs/>
</ds:datastoreItem>
</file>

<file path=customXml/itemProps14.xml><?xml version="1.0" encoding="utf-8"?>
<ds:datastoreItem xmlns:ds="http://schemas.openxmlformats.org/officeDocument/2006/customXml" ds:itemID="{042532D1-C1A9-40CB-94BA-920A9DFB3F92}">
  <ds:schemaRefs/>
</ds:datastoreItem>
</file>

<file path=customXml/itemProps15.xml><?xml version="1.0" encoding="utf-8"?>
<ds:datastoreItem xmlns:ds="http://schemas.openxmlformats.org/officeDocument/2006/customXml" ds:itemID="{B8639867-B295-4287-9719-F4C0D3BA6BE2}">
  <ds:schemaRefs/>
</ds:datastoreItem>
</file>

<file path=customXml/itemProps16.xml><?xml version="1.0" encoding="utf-8"?>
<ds:datastoreItem xmlns:ds="http://schemas.openxmlformats.org/officeDocument/2006/customXml" ds:itemID="{A5CF4C44-9540-4D03-875C-61147032C38B}">
  <ds:schemaRefs/>
</ds:datastoreItem>
</file>

<file path=customXml/itemProps17.xml><?xml version="1.0" encoding="utf-8"?>
<ds:datastoreItem xmlns:ds="http://schemas.openxmlformats.org/officeDocument/2006/customXml" ds:itemID="{91859407-8408-4513-838C-1B53A4DECEC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sales_2025</vt:lpstr>
      <vt:lpstr>Group 1 (Sales)</vt:lpstr>
      <vt:lpstr>Main Data - Employees</vt:lpstr>
      <vt:lpstr>Group 2 (Employees)</vt:lpstr>
      <vt:lpstr>Employee</vt:lpstr>
      <vt:lpstr>Main Data - Students</vt:lpstr>
      <vt:lpstr>Group 3 (Students)</vt:lpstr>
      <vt:lpstr>Main Data - Products</vt:lpstr>
      <vt:lpstr>Group 4 (Products)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ASDC44</cp:lastModifiedBy>
  <dcterms:modified xsi:type="dcterms:W3CDTF">2026-05-04T05:25:34Z</dcterms:modified>
</cp:coreProperties>
</file>